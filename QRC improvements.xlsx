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0"/>
  <workbookPr defaultThemeVersion="166925"/>
  <xr:revisionPtr revIDLastSave="0" documentId="8_{5CE8C4ED-E359-4FEA-9B70-89B9239997DB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67" i="1" l="1"/>
  <c r="J67" i="1"/>
  <c r="E67" i="1"/>
  <c r="O66" i="1"/>
  <c r="J66" i="1"/>
  <c r="E66" i="1"/>
  <c r="O65" i="1"/>
  <c r="J65" i="1"/>
  <c r="E65" i="1"/>
  <c r="O64" i="1"/>
  <c r="J64" i="1"/>
  <c r="E64" i="1"/>
  <c r="O63" i="1"/>
  <c r="J63" i="1"/>
  <c r="E63" i="1"/>
  <c r="O62" i="1"/>
  <c r="J62" i="1"/>
  <c r="E62" i="1"/>
  <c r="O61" i="1"/>
  <c r="J61" i="1"/>
  <c r="E61" i="1"/>
  <c r="O60" i="1"/>
  <c r="J60" i="1"/>
  <c r="E60" i="1"/>
  <c r="O59" i="1"/>
  <c r="J59" i="1"/>
  <c r="E59" i="1"/>
  <c r="O58" i="1"/>
  <c r="J58" i="1"/>
  <c r="E58" i="1"/>
  <c r="O53" i="1"/>
  <c r="J53" i="1"/>
  <c r="E53" i="1"/>
  <c r="O52" i="1"/>
  <c r="J52" i="1"/>
  <c r="E52" i="1"/>
  <c r="O51" i="1"/>
  <c r="J51" i="1"/>
  <c r="E51" i="1"/>
  <c r="O50" i="1"/>
  <c r="J50" i="1"/>
  <c r="E50" i="1"/>
  <c r="O49" i="1"/>
  <c r="J49" i="1"/>
  <c r="E49" i="1"/>
  <c r="O48" i="1"/>
  <c r="J48" i="1"/>
  <c r="E48" i="1"/>
  <c r="O47" i="1"/>
  <c r="J47" i="1"/>
  <c r="E47" i="1"/>
  <c r="O46" i="1"/>
  <c r="J46" i="1"/>
  <c r="E46" i="1"/>
  <c r="O45" i="1"/>
  <c r="J45" i="1"/>
  <c r="E45" i="1"/>
  <c r="O44" i="1"/>
  <c r="J44" i="1"/>
  <c r="E4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4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4" i="1"/>
  <c r="E38" i="1"/>
  <c r="E37" i="1"/>
  <c r="E36" i="1"/>
  <c r="E35" i="1"/>
  <c r="E34" i="1"/>
  <c r="E33" i="1"/>
  <c r="O27" i="1"/>
  <c r="O26" i="1"/>
  <c r="O25" i="1"/>
  <c r="O24" i="1"/>
  <c r="O23" i="1"/>
  <c r="O22" i="1"/>
  <c r="O21" i="1"/>
  <c r="O20" i="1"/>
  <c r="O19" i="1"/>
  <c r="O18" i="1"/>
  <c r="O13" i="1"/>
  <c r="O12" i="1"/>
  <c r="O11" i="1"/>
  <c r="O10" i="1"/>
  <c r="O9" i="1"/>
  <c r="O8" i="1"/>
  <c r="O7" i="1"/>
  <c r="O6" i="1"/>
  <c r="O5" i="1"/>
  <c r="O4" i="1"/>
  <c r="E27" i="1"/>
  <c r="E26" i="1"/>
  <c r="E25" i="1"/>
  <c r="E24" i="1"/>
  <c r="E23" i="1"/>
  <c r="E22" i="1"/>
  <c r="E21" i="1"/>
  <c r="E20" i="1"/>
  <c r="E19" i="1"/>
  <c r="E18" i="1"/>
  <c r="J27" i="1"/>
  <c r="J26" i="1"/>
  <c r="J25" i="1"/>
  <c r="J24" i="1"/>
  <c r="J23" i="1"/>
  <c r="J22" i="1"/>
  <c r="J21" i="1"/>
  <c r="J20" i="1"/>
  <c r="J19" i="1"/>
  <c r="J18" i="1"/>
  <c r="J13" i="1"/>
  <c r="J12" i="1"/>
  <c r="J11" i="1"/>
  <c r="J10" i="1"/>
  <c r="J9" i="1"/>
  <c r="J8" i="1"/>
  <c r="J7" i="1"/>
  <c r="J6" i="1"/>
  <c r="J5" i="1"/>
  <c r="J4" i="1"/>
  <c r="E5" i="1"/>
  <c r="E6" i="1"/>
  <c r="E7" i="1"/>
  <c r="E8" i="1"/>
  <c r="E9" i="1"/>
  <c r="E10" i="1"/>
  <c r="E11" i="1"/>
  <c r="E12" i="1"/>
  <c r="E13" i="1"/>
  <c r="E4" i="1"/>
</calcChain>
</file>

<file path=xl/sharedStrings.xml><?xml version="1.0" encoding="utf-8"?>
<sst xmlns="http://schemas.openxmlformats.org/spreadsheetml/2006/main" count="198" uniqueCount="29">
  <si>
    <t>QRC_v1</t>
  </si>
  <si>
    <t>QRC_v2</t>
  </si>
  <si>
    <t>Decrease</t>
  </si>
  <si>
    <t>Target</t>
  </si>
  <si>
    <t>"110"</t>
  </si>
  <si>
    <t>"1101"</t>
  </si>
  <si>
    <t>"11010"</t>
  </si>
  <si>
    <t>target</t>
  </si>
  <si>
    <t>QRC_v1 qubits</t>
  </si>
  <si>
    <t>QRC_v2 qubits</t>
  </si>
  <si>
    <t>QRC_v3 qubits</t>
  </si>
  <si>
    <t>Qubits</t>
  </si>
  <si>
    <t>X gates</t>
  </si>
  <si>
    <t>C-Swap gates</t>
  </si>
  <si>
    <t>C-Swap gates with 3 control qubits</t>
  </si>
  <si>
    <t>C-Swap gates with 4 control qubits</t>
  </si>
  <si>
    <t>C-Swap gates with 5 control qubits</t>
  </si>
  <si>
    <t>C-H gates with 3 control qubits</t>
  </si>
  <si>
    <t>C-T gates with 3 control qubits</t>
  </si>
  <si>
    <t>C-S gates with 3 control qubits</t>
  </si>
  <si>
    <t>C-X gates with 3 control qubits</t>
  </si>
  <si>
    <t>QRC count</t>
  </si>
  <si>
    <t>"110100"</t>
  </si>
  <si>
    <t>"1101001"</t>
  </si>
  <si>
    <t>"11010010"</t>
  </si>
  <si>
    <t>C-Swap gates with 6 control qubits</t>
  </si>
  <si>
    <t>Binary</t>
  </si>
  <si>
    <t>Gray Code</t>
  </si>
  <si>
    <t>QRC_v3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</si>
</sst>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242424"/>
      <name val="Aptos Narrow"/>
      <charset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3" xfId="0" applyBorder="1"/>
    <xf numFmtId="0" fontId="0" fillId="0" borderId="4" xfId="0" applyBorder="1"/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5" xfId="0" applyBorder="1"/>
    <xf numFmtId="10" fontId="1" fillId="0" borderId="3" xfId="0" applyNumberFormat="1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10" fontId="1" fillId="0" borderId="0" xfId="0" applyNumberFormat="1" applyFont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6" xfId="0" applyBorder="1" applyAlignment="1">
      <alignment horizontal="center"/>
    </xf>
  </cellXfs>
  <cellStyles count="1">
    <cellStyle name="Normal" xfId="0" builtinId="0"/>
  </cellStyles>
  <dxfs count="26">
    <dxf>
      <font>
        <color theme="1"/>
      </font>
      <fill>
        <patternFill patternType="solid">
          <bgColor theme="9"/>
        </patternFill>
      </fill>
    </dxf>
    <dxf>
      <fill>
        <patternFill patternType="solid">
          <bgColor rgb="FFC00000"/>
        </patternFill>
      </fill>
    </dxf>
    <dxf>
      <font>
        <color theme="1"/>
      </font>
      <fill>
        <patternFill patternType="solid">
          <bgColor theme="9"/>
        </patternFill>
      </fill>
    </dxf>
    <dxf>
      <fill>
        <patternFill patternType="solid">
          <bgColor rgb="FFC00000"/>
        </patternFill>
      </fill>
    </dxf>
    <dxf>
      <font>
        <color theme="1"/>
      </font>
      <fill>
        <patternFill patternType="solid">
          <bgColor theme="9"/>
        </patternFill>
      </fill>
    </dxf>
    <dxf>
      <fill>
        <patternFill patternType="solid">
          <bgColor rgb="FFC00000"/>
        </patternFill>
      </fill>
    </dxf>
    <dxf>
      <font>
        <color theme="1"/>
      </font>
      <fill>
        <patternFill patternType="solid">
          <bgColor theme="9"/>
        </patternFill>
      </fill>
    </dxf>
    <dxf>
      <fill>
        <patternFill patternType="solid">
          <bgColor rgb="FFC00000"/>
        </patternFill>
      </fill>
    </dxf>
    <dxf>
      <font>
        <color theme="1"/>
      </font>
      <fill>
        <patternFill patternType="solid">
          <bgColor theme="9"/>
        </patternFill>
      </fill>
    </dxf>
    <dxf>
      <fill>
        <patternFill patternType="solid">
          <bgColor rgb="FFC00000"/>
        </patternFill>
      </fill>
    </dxf>
    <dxf>
      <font>
        <color theme="1"/>
      </font>
      <fill>
        <patternFill patternType="solid">
          <bgColor theme="9"/>
        </patternFill>
      </fill>
    </dxf>
    <dxf>
      <fill>
        <patternFill patternType="solid">
          <bgColor rgb="FFC00000"/>
        </patternFill>
      </fill>
    </dxf>
    <dxf>
      <font>
        <color theme="1"/>
      </font>
      <fill>
        <patternFill patternType="solid">
          <bgColor theme="9"/>
        </patternFill>
      </fill>
    </dxf>
    <dxf>
      <fill>
        <patternFill patternType="solid">
          <bgColor rgb="FFC00000"/>
        </patternFill>
      </fill>
    </dxf>
    <dxf>
      <font>
        <color theme="1"/>
      </font>
      <fill>
        <patternFill patternType="solid">
          <bgColor theme="9"/>
        </patternFill>
      </fill>
    </dxf>
    <dxf>
      <fill>
        <patternFill patternType="solid">
          <bgColor rgb="FFC00000"/>
        </patternFill>
      </fill>
    </dxf>
    <dxf>
      <font>
        <color theme="1"/>
      </font>
      <fill>
        <patternFill patternType="solid">
          <bgColor theme="9"/>
        </patternFill>
      </fill>
    </dxf>
    <dxf>
      <fill>
        <patternFill patternType="solid">
          <bgColor rgb="FFC00000"/>
        </patternFill>
      </fill>
    </dxf>
    <dxf>
      <font>
        <color theme="1"/>
      </font>
      <fill>
        <patternFill patternType="solid">
          <bgColor theme="9"/>
        </patternFill>
      </fill>
    </dxf>
    <dxf>
      <fill>
        <patternFill patternType="solid">
          <bgColor rgb="FFC00000"/>
        </patternFill>
      </fill>
    </dxf>
    <dxf>
      <font>
        <color theme="1"/>
      </font>
      <fill>
        <patternFill patternType="solid">
          <bgColor theme="9"/>
        </patternFill>
      </fill>
    </dxf>
    <dxf>
      <fill>
        <patternFill patternType="solid">
          <bgColor rgb="FFC00000"/>
        </patternFill>
      </fill>
    </dxf>
    <dxf>
      <font>
        <color theme="1"/>
      </font>
      <fill>
        <patternFill patternType="solid">
          <bgColor theme="9"/>
        </patternFill>
      </fill>
    </dxf>
    <dxf>
      <fill>
        <patternFill patternType="solid">
          <bgColor rgb="FFC00000"/>
        </patternFill>
      </fill>
    </dxf>
    <dxf>
      <font>
        <color theme="1"/>
      </font>
      <fill>
        <patternFill patternType="solid">
          <bgColor theme="9"/>
        </patternFill>
      </fill>
    </dxf>
    <dxf>
      <fill>
        <patternFill patternType="solid">
          <bgColor rgb="FFC000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Number of qubits of QRC_v1, QRC_v2 and QRC_v3 by 'target' size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Sheet1!T3</c:f>
              <c:strCache>
                <c:ptCount val="1"/>
                <c:pt idx="0">
                  <c:v>QRC_v1 qubits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1"/>
              </a:solidFill>
              <a:ln w="9525">
                <a:solidFill>
                  <a:srgbClr val="FFFFFF"/>
                </a:solidFill>
                <a:prstDash val="solid"/>
              </a:ln>
              <a:effectLst/>
            </c:spPr>
          </c:marker>
          <c:xVal>
            <c:numRef>
              <c:f>Sheet1!$S$4:$S$29</c:f>
              <c:numCache>
                <c:formatCode>General</c:formatCode>
                <c:ptCount val="26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30</c:v>
                </c:pt>
                <c:pt idx="19">
                  <c:v>40</c:v>
                </c:pt>
                <c:pt idx="20">
                  <c:v>50</c:v>
                </c:pt>
                <c:pt idx="21">
                  <c:v>60</c:v>
                </c:pt>
                <c:pt idx="22">
                  <c:v>70</c:v>
                </c:pt>
                <c:pt idx="23">
                  <c:v>80</c:v>
                </c:pt>
                <c:pt idx="24">
                  <c:v>90</c:v>
                </c:pt>
                <c:pt idx="25">
                  <c:v>100</c:v>
                </c:pt>
              </c:numCache>
            </c:numRef>
          </c:xVal>
          <c:yVal>
            <c:numRef>
              <c:f>Sheet1!$T$4:$T$29</c:f>
              <c:numCache>
                <c:formatCode>General</c:formatCode>
                <c:ptCount val="26"/>
                <c:pt idx="0">
                  <c:v>11</c:v>
                </c:pt>
                <c:pt idx="1">
                  <c:v>13</c:v>
                </c:pt>
                <c:pt idx="2">
                  <c:v>14</c:v>
                </c:pt>
                <c:pt idx="3">
                  <c:v>15</c:v>
                </c:pt>
                <c:pt idx="4">
                  <c:v>16</c:v>
                </c:pt>
                <c:pt idx="5">
                  <c:v>18</c:v>
                </c:pt>
                <c:pt idx="6">
                  <c:v>19</c:v>
                </c:pt>
                <c:pt idx="7">
                  <c:v>20</c:v>
                </c:pt>
                <c:pt idx="8">
                  <c:v>21</c:v>
                </c:pt>
                <c:pt idx="9">
                  <c:v>22</c:v>
                </c:pt>
                <c:pt idx="10">
                  <c:v>23</c:v>
                </c:pt>
                <c:pt idx="11">
                  <c:v>24</c:v>
                </c:pt>
                <c:pt idx="12">
                  <c:v>25</c:v>
                </c:pt>
                <c:pt idx="13">
                  <c:v>27</c:v>
                </c:pt>
                <c:pt idx="14">
                  <c:v>28</c:v>
                </c:pt>
                <c:pt idx="15">
                  <c:v>29</c:v>
                </c:pt>
                <c:pt idx="16">
                  <c:v>30</c:v>
                </c:pt>
                <c:pt idx="17">
                  <c:v>31</c:v>
                </c:pt>
                <c:pt idx="18">
                  <c:v>41</c:v>
                </c:pt>
                <c:pt idx="19">
                  <c:v>52</c:v>
                </c:pt>
                <c:pt idx="20">
                  <c:v>62</c:v>
                </c:pt>
                <c:pt idx="21">
                  <c:v>72</c:v>
                </c:pt>
                <c:pt idx="22">
                  <c:v>83</c:v>
                </c:pt>
                <c:pt idx="23">
                  <c:v>93</c:v>
                </c:pt>
                <c:pt idx="24">
                  <c:v>103</c:v>
                </c:pt>
                <c:pt idx="25">
                  <c:v>113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2D964C63-B1B3-4831-866D-D85BCC13164A}"/>
            </c:ext>
          </c:extLst>
        </c:ser>
        <c:ser>
          <c:idx val="1"/>
          <c:order val="1"/>
          <c:tx>
            <c:strRef>
              <c:f>Sheet1!U3</c:f>
              <c:strCache>
                <c:ptCount val="1"/>
                <c:pt idx="0">
                  <c:v>QRC_v2 qubits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2"/>
              </a:solidFill>
              <a:ln w="9525">
                <a:solidFill>
                  <a:srgbClr val="FFFFFF"/>
                </a:solidFill>
                <a:prstDash val="solid"/>
              </a:ln>
              <a:effectLst/>
            </c:spPr>
          </c:marker>
          <c:xVal>
            <c:numRef>
              <c:f>Sheet1!$S$4:$S$29</c:f>
              <c:numCache>
                <c:formatCode>General</c:formatCode>
                <c:ptCount val="26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30</c:v>
                </c:pt>
                <c:pt idx="19">
                  <c:v>40</c:v>
                </c:pt>
                <c:pt idx="20">
                  <c:v>50</c:v>
                </c:pt>
                <c:pt idx="21">
                  <c:v>60</c:v>
                </c:pt>
                <c:pt idx="22">
                  <c:v>70</c:v>
                </c:pt>
                <c:pt idx="23">
                  <c:v>80</c:v>
                </c:pt>
                <c:pt idx="24">
                  <c:v>90</c:v>
                </c:pt>
                <c:pt idx="25">
                  <c:v>100</c:v>
                </c:pt>
              </c:numCache>
            </c:numRef>
          </c:xVal>
          <c:yVal>
            <c:numRef>
              <c:f>Sheet1!$U$4:$U$29</c:f>
              <c:numCache>
                <c:formatCode>General</c:formatCode>
                <c:ptCount val="26"/>
                <c:pt idx="0">
                  <c:v>13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20</c:v>
                </c:pt>
                <c:pt idx="6">
                  <c:v>21</c:v>
                </c:pt>
                <c:pt idx="7">
                  <c:v>22</c:v>
                </c:pt>
                <c:pt idx="8">
                  <c:v>23</c:v>
                </c:pt>
                <c:pt idx="9">
                  <c:v>24</c:v>
                </c:pt>
                <c:pt idx="10">
                  <c:v>25</c:v>
                </c:pt>
                <c:pt idx="11">
                  <c:v>26</c:v>
                </c:pt>
                <c:pt idx="12">
                  <c:v>27</c:v>
                </c:pt>
                <c:pt idx="13">
                  <c:v>29</c:v>
                </c:pt>
                <c:pt idx="14">
                  <c:v>30</c:v>
                </c:pt>
                <c:pt idx="15">
                  <c:v>31</c:v>
                </c:pt>
                <c:pt idx="16">
                  <c:v>32</c:v>
                </c:pt>
                <c:pt idx="17">
                  <c:v>33</c:v>
                </c:pt>
                <c:pt idx="18">
                  <c:v>43</c:v>
                </c:pt>
                <c:pt idx="19">
                  <c:v>54</c:v>
                </c:pt>
                <c:pt idx="20">
                  <c:v>64</c:v>
                </c:pt>
                <c:pt idx="21">
                  <c:v>74</c:v>
                </c:pt>
                <c:pt idx="22">
                  <c:v>85</c:v>
                </c:pt>
                <c:pt idx="23">
                  <c:v>95</c:v>
                </c:pt>
                <c:pt idx="24">
                  <c:v>105</c:v>
                </c:pt>
                <c:pt idx="25">
                  <c:v>115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8B2A41F6-5830-43E3-A9BC-333F223B5338}"/>
            </c:ext>
          </c:extLst>
        </c:ser>
        <c:ser>
          <c:idx val="2"/>
          <c:order val="2"/>
          <c:tx>
            <c:strRef>
              <c:f>Sheet1!V3</c:f>
              <c:strCache>
                <c:ptCount val="1"/>
                <c:pt idx="0">
                  <c:v>QRC_v3 qubits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3"/>
              </a:solidFill>
              <a:ln w="9525">
                <a:solidFill>
                  <a:srgbClr val="FFFFFF"/>
                </a:solidFill>
                <a:prstDash val="solid"/>
              </a:ln>
              <a:effectLst/>
            </c:spPr>
          </c:marker>
          <c:xVal>
            <c:numRef>
              <c:f>Sheet1!$S$4:$S$29</c:f>
              <c:numCache>
                <c:formatCode>General</c:formatCode>
                <c:ptCount val="26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30</c:v>
                </c:pt>
                <c:pt idx="19">
                  <c:v>40</c:v>
                </c:pt>
                <c:pt idx="20">
                  <c:v>50</c:v>
                </c:pt>
                <c:pt idx="21">
                  <c:v>60</c:v>
                </c:pt>
                <c:pt idx="22">
                  <c:v>70</c:v>
                </c:pt>
                <c:pt idx="23">
                  <c:v>80</c:v>
                </c:pt>
                <c:pt idx="24">
                  <c:v>90</c:v>
                </c:pt>
                <c:pt idx="25">
                  <c:v>100</c:v>
                </c:pt>
              </c:numCache>
            </c:numRef>
          </c:xVal>
          <c:yVal>
            <c:numRef>
              <c:f>Sheet1!$V$4:$V$29</c:f>
              <c:numCache>
                <c:formatCode>General</c:formatCode>
                <c:ptCount val="26"/>
                <c:pt idx="0">
                  <c:v>14</c:v>
                </c:pt>
                <c:pt idx="1">
                  <c:v>17</c:v>
                </c:pt>
                <c:pt idx="2">
                  <c:v>18</c:v>
                </c:pt>
                <c:pt idx="3">
                  <c:v>19</c:v>
                </c:pt>
                <c:pt idx="4">
                  <c:v>20</c:v>
                </c:pt>
                <c:pt idx="5">
                  <c:v>23</c:v>
                </c:pt>
                <c:pt idx="6">
                  <c:v>24</c:v>
                </c:pt>
                <c:pt idx="7">
                  <c:v>25</c:v>
                </c:pt>
                <c:pt idx="8">
                  <c:v>26</c:v>
                </c:pt>
                <c:pt idx="9">
                  <c:v>27</c:v>
                </c:pt>
                <c:pt idx="10">
                  <c:v>28</c:v>
                </c:pt>
                <c:pt idx="11">
                  <c:v>29</c:v>
                </c:pt>
                <c:pt idx="12">
                  <c:v>30</c:v>
                </c:pt>
                <c:pt idx="13">
                  <c:v>33</c:v>
                </c:pt>
                <c:pt idx="14">
                  <c:v>34</c:v>
                </c:pt>
                <c:pt idx="15">
                  <c:v>35</c:v>
                </c:pt>
                <c:pt idx="16">
                  <c:v>36</c:v>
                </c:pt>
                <c:pt idx="17">
                  <c:v>37</c:v>
                </c:pt>
                <c:pt idx="18">
                  <c:v>47</c:v>
                </c:pt>
                <c:pt idx="19">
                  <c:v>59</c:v>
                </c:pt>
                <c:pt idx="20">
                  <c:v>69</c:v>
                </c:pt>
                <c:pt idx="21">
                  <c:v>79</c:v>
                </c:pt>
                <c:pt idx="22">
                  <c:v>91</c:v>
                </c:pt>
                <c:pt idx="23">
                  <c:v>101</c:v>
                </c:pt>
                <c:pt idx="24">
                  <c:v>111</c:v>
                </c:pt>
                <c:pt idx="25">
                  <c:v>121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6AE4C559-6386-4611-A572-8024960E7E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1092231"/>
        <c:axId val="1191094279"/>
      </c:scatterChart>
      <c:valAx>
        <c:axId val="11910922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target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1094279"/>
        <c:crosses val="autoZero"/>
        <c:crossBetween val="midCat"/>
      </c:valAx>
      <c:valAx>
        <c:axId val="1191094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109223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Number of QRCs of QRC_v1, QRC_v2 and QRC_v3 by 'target' size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Sheet1!T31</c:f>
              <c:strCache>
                <c:ptCount val="1"/>
                <c:pt idx="0">
                  <c:v>QRC_v1 qubits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Sheet1!$S$32:$S$37</c:f>
              <c:numCache>
                <c:formatCode>General</c:formatCode>
                <c:ptCount val="6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</c:numCache>
            </c:numRef>
          </c:cat>
          <c:val>
            <c:numRef>
              <c:f>Sheet1!$T$32:$T$37</c:f>
              <c:numCache>
                <c:formatCode>General</c:formatCode>
                <c:ptCount val="6"/>
                <c:pt idx="0">
                  <c:v>501</c:v>
                </c:pt>
                <c:pt idx="1">
                  <c:v>1445</c:v>
                </c:pt>
                <c:pt idx="2">
                  <c:v>3703</c:v>
                </c:pt>
                <c:pt idx="3">
                  <c:v>8716</c:v>
                </c:pt>
                <c:pt idx="4">
                  <c:v>18665</c:v>
                </c:pt>
                <c:pt idx="5">
                  <c:v>35144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1A1A4C2B-72B6-461A-B0D8-1EAC9DE237D3}"/>
            </c:ext>
          </c:extLst>
        </c:ser>
        <c:ser>
          <c:idx val="1"/>
          <c:order val="1"/>
          <c:tx>
            <c:strRef>
              <c:f>Sheet1!U31</c:f>
              <c:strCache>
                <c:ptCount val="1"/>
                <c:pt idx="0">
                  <c:v>QRC_v2 qubits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Sheet1!$S$32:$S$37</c:f>
              <c:numCache>
                <c:formatCode>General</c:formatCode>
                <c:ptCount val="6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</c:numCache>
            </c:numRef>
          </c:cat>
          <c:val>
            <c:numRef>
              <c:f>Sheet1!$U$32:$U$37</c:f>
              <c:numCache>
                <c:formatCode>General</c:formatCode>
                <c:ptCount val="6"/>
                <c:pt idx="0">
                  <c:v>405</c:v>
                </c:pt>
                <c:pt idx="1">
                  <c:v>1169</c:v>
                </c:pt>
                <c:pt idx="2">
                  <c:v>2967</c:v>
                </c:pt>
                <c:pt idx="3">
                  <c:v>6892</c:v>
                </c:pt>
                <c:pt idx="4">
                  <c:v>14633</c:v>
                </c:pt>
                <c:pt idx="5">
                  <c:v>27448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B825F451-9011-46EB-B991-A26CAC87E2AD}"/>
            </c:ext>
          </c:extLst>
        </c:ser>
        <c:ser>
          <c:idx val="2"/>
          <c:order val="2"/>
          <c:tx>
            <c:strRef>
              <c:f>Sheet1!V31</c:f>
              <c:strCache>
                <c:ptCount val="1"/>
                <c:pt idx="0">
                  <c:v>QRC_v3 qubits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Sheet1!$S$32:$S$37</c:f>
              <c:numCache>
                <c:formatCode>General</c:formatCode>
                <c:ptCount val="6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</c:numCache>
            </c:numRef>
          </c:cat>
          <c:val>
            <c:numRef>
              <c:f>Sheet1!$V$32:$V$37</c:f>
              <c:numCache>
                <c:formatCode>General</c:formatCode>
                <c:ptCount val="6"/>
                <c:pt idx="0">
                  <c:v>309</c:v>
                </c:pt>
                <c:pt idx="1">
                  <c:v>893</c:v>
                </c:pt>
                <c:pt idx="2">
                  <c:v>2231</c:v>
                </c:pt>
                <c:pt idx="3">
                  <c:v>5068</c:v>
                </c:pt>
                <c:pt idx="4">
                  <c:v>10601</c:v>
                </c:pt>
                <c:pt idx="5">
                  <c:v>19752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ECA775CF-CABC-4511-86BD-A1BE0C0F1D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1466888"/>
        <c:axId val="241474568"/>
      </c:lineChart>
      <c:catAx>
        <c:axId val="2414668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target size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1474568"/>
        <c:crosses val="autoZero"/>
        <c:auto val="1"/>
        <c:lblAlgn val="ctr"/>
        <c:lblOffset val="100"/>
        <c:noMultiLvlLbl val="0"/>
      </c:catAx>
      <c:valAx>
        <c:axId val="241474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1466888"/>
        <c:crosses val="autoZero"/>
        <c:crossBetween val="midCat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619125</xdr:colOff>
      <xdr:row>74</xdr:row>
      <xdr:rowOff>76200</xdr:rowOff>
    </xdr:from>
    <xdr:to>
      <xdr:col>15</xdr:col>
      <xdr:colOff>190500</xdr:colOff>
      <xdr:row>109</xdr:row>
      <xdr:rowOff>171450</xdr:rowOff>
    </xdr:to>
    <xdr:graphicFrame macro="">
      <xdr:nvGraphicFramePr>
        <xdr:cNvPr id="3" name="Chart 2" descr="Chart type: Scatter. 'QRC_v1 qubits', 'QRC_v2 qubits', 'QRC_v3 qubits' by 'target'&#10;&#10;Description automatically generated">
          <a:extLst>
            <a:ext uri="{FF2B5EF4-FFF2-40B4-BE49-F238E27FC236}">
              <a16:creationId xmlns:a16="http://schemas.microsoft.com/office/drawing/2014/main" id="{3DC3AA23-C141-C9C0-EEF6-EE6D2C4371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619125</xdr:colOff>
      <xdr:row>114</xdr:row>
      <xdr:rowOff>38100</xdr:rowOff>
    </xdr:from>
    <xdr:to>
      <xdr:col>14</xdr:col>
      <xdr:colOff>600075</xdr:colOff>
      <xdr:row>152</xdr:row>
      <xdr:rowOff>104775</xdr:rowOff>
    </xdr:to>
    <xdr:graphicFrame macro="">
      <xdr:nvGraphicFramePr>
        <xdr:cNvPr id="4" name="Chart 3" descr="Chart type: Line. 'QRC_v1 qubits', 'QRC_v2 qubits', 'QRC_v3 qubits' by 'target'&#10;&#10;Description automatically generated">
          <a:extLst>
            <a:ext uri="{FF2B5EF4-FFF2-40B4-BE49-F238E27FC236}">
              <a16:creationId xmlns:a16="http://schemas.microsoft.com/office/drawing/2014/main" id="{C0F0DCAF-86B5-A8C3-1DDB-74841A2C655E}"/>
            </a:ext>
            <a:ext uri="{147F2762-F138-4A5C-976F-8EAC2B608ADB}">
              <a16:predDERef xmlns:a16="http://schemas.microsoft.com/office/drawing/2014/main" pred="{3DC3AA23-C141-C9C0-EEF6-EE6D2C4371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67"/>
  <sheetViews>
    <sheetView tabSelected="1" topLeftCell="A108" workbookViewId="0">
      <selection activeCell="R140" sqref="R140"/>
    </sheetView>
  </sheetViews>
  <sheetFormatPr defaultRowHeight="15"/>
  <cols>
    <col min="1" max="1" width="16.42578125" customWidth="1"/>
    <col min="2" max="2" width="36.42578125" customWidth="1"/>
    <col min="5" max="5" width="12" customWidth="1"/>
    <col min="6" max="6" width="5.7109375" customWidth="1"/>
    <col min="7" max="7" width="33.140625" customWidth="1"/>
    <col min="10" max="10" width="12.140625" customWidth="1"/>
    <col min="11" max="11" width="6.140625" customWidth="1"/>
    <col min="12" max="12" width="33.5703125" customWidth="1"/>
    <col min="18" max="18" width="28.28515625" customWidth="1"/>
    <col min="19" max="19" width="12.85546875" customWidth="1"/>
    <col min="20" max="20" width="15.42578125" customWidth="1"/>
    <col min="21" max="21" width="16.42578125" customWidth="1"/>
    <col min="22" max="22" width="17.7109375" customWidth="1"/>
    <col min="25" max="25" width="14.28515625" customWidth="1"/>
    <col min="31" max="31" width="9.85546875" bestFit="1" customWidth="1"/>
  </cols>
  <sheetData>
    <row r="1" spans="1:22">
      <c r="A1" s="2"/>
    </row>
    <row r="2" spans="1:22">
      <c r="B2" s="1"/>
      <c r="C2" s="7" t="s">
        <v>0</v>
      </c>
      <c r="D2" s="8" t="s">
        <v>1</v>
      </c>
      <c r="E2" s="3" t="s">
        <v>2</v>
      </c>
      <c r="G2" s="1"/>
      <c r="H2" s="7" t="s">
        <v>0</v>
      </c>
      <c r="I2" s="1" t="s">
        <v>1</v>
      </c>
      <c r="J2" s="3" t="s">
        <v>2</v>
      </c>
      <c r="L2" s="1"/>
      <c r="M2" s="7" t="s">
        <v>0</v>
      </c>
      <c r="N2" s="1" t="s">
        <v>1</v>
      </c>
      <c r="O2" s="3" t="s">
        <v>2</v>
      </c>
    </row>
    <row r="3" spans="1:22">
      <c r="B3" s="4" t="s">
        <v>3</v>
      </c>
      <c r="C3" s="13" t="s">
        <v>4</v>
      </c>
      <c r="D3" s="15"/>
      <c r="E3" s="9"/>
      <c r="G3" s="4" t="s">
        <v>3</v>
      </c>
      <c r="H3" s="13" t="s">
        <v>5</v>
      </c>
      <c r="I3" s="14"/>
      <c r="J3" s="9"/>
      <c r="L3" s="4" t="s">
        <v>3</v>
      </c>
      <c r="M3" s="13" t="s">
        <v>6</v>
      </c>
      <c r="N3" s="14"/>
      <c r="O3" s="9"/>
      <c r="S3" s="3" t="s">
        <v>7</v>
      </c>
      <c r="T3" s="3" t="s">
        <v>8</v>
      </c>
      <c r="U3" s="3" t="s">
        <v>9</v>
      </c>
      <c r="V3" s="3" t="s">
        <v>10</v>
      </c>
    </row>
    <row r="4" spans="1:22">
      <c r="B4" s="4" t="s">
        <v>11</v>
      </c>
      <c r="C4" s="3">
        <v>11</v>
      </c>
      <c r="D4" s="8">
        <v>13</v>
      </c>
      <c r="E4" s="10">
        <f>IF(C4=0,"N/A",(1-(D4/C4)))</f>
        <v>-0.18181818181818188</v>
      </c>
      <c r="G4" s="4" t="s">
        <v>11</v>
      </c>
      <c r="H4" s="3">
        <v>13</v>
      </c>
      <c r="I4" s="3">
        <v>15</v>
      </c>
      <c r="J4" s="10">
        <f>IF(H4=0,"N/A",(1-(I4/H4)))</f>
        <v>-0.15384615384615374</v>
      </c>
      <c r="L4" s="4" t="s">
        <v>11</v>
      </c>
      <c r="M4" s="3">
        <v>14</v>
      </c>
      <c r="N4" s="3">
        <v>16</v>
      </c>
      <c r="O4" s="10">
        <f>IF(M4=0,"N/A",(1-(N4/M4)))</f>
        <v>-0.14285714285714279</v>
      </c>
      <c r="S4" s="4">
        <v>3</v>
      </c>
      <c r="T4" s="4">
        <f>(6+S4 + _xlfn.CEILING.MATH(LOG(S4+1,2)))</f>
        <v>11</v>
      </c>
      <c r="U4" s="4">
        <f>(8+S4 + _xlfn.CEILING.MATH(LOG(S4+1,2)))</f>
        <v>13</v>
      </c>
      <c r="V4" s="4">
        <f>(7+S4+_xlfn.CEILING.MATH(LOG(S4+1,2))+_xlfn.CEILING.MATH(LOG(S4+1,2)))</f>
        <v>14</v>
      </c>
    </row>
    <row r="5" spans="1:22">
      <c r="B5" s="4" t="s">
        <v>12</v>
      </c>
      <c r="C5" s="3">
        <v>10830</v>
      </c>
      <c r="D5" s="8">
        <v>9102</v>
      </c>
      <c r="E5" s="10">
        <f t="shared" ref="E5:E13" si="0">IF(C5=0,"N/A",(1-(D5/C5)))</f>
        <v>0.15955678670360107</v>
      </c>
      <c r="G5" s="4" t="s">
        <v>12</v>
      </c>
      <c r="H5" s="3">
        <v>54324</v>
      </c>
      <c r="I5" s="3">
        <v>44940</v>
      </c>
      <c r="J5" s="10">
        <f t="shared" ref="J5:J13" si="1">IF(H5=0,"N/A",(1-(I5/H5)))</f>
        <v>0.17274132979898382</v>
      </c>
      <c r="L5" s="4" t="s">
        <v>12</v>
      </c>
      <c r="M5" s="3">
        <v>140584</v>
      </c>
      <c r="N5" s="3">
        <v>115560</v>
      </c>
      <c r="O5" s="10">
        <f t="shared" ref="O5:O13" si="2">IF(M5=0,"N/A",(1-(N5/M5)))</f>
        <v>0.17800034143288002</v>
      </c>
      <c r="S5" s="4">
        <v>4</v>
      </c>
      <c r="T5" s="4">
        <f t="shared" ref="T5:T29" si="3">(6+S5 + _xlfn.CEILING.MATH(LOG(S5+1,2)))</f>
        <v>13</v>
      </c>
      <c r="U5" s="4">
        <f t="shared" ref="U5:U29" si="4">(8+S5 + _xlfn.CEILING.MATH(LOG(S5+1,2)))</f>
        <v>15</v>
      </c>
      <c r="V5" s="4">
        <f t="shared" ref="V5:V29" si="5">(7+S5+_xlfn.CEILING.MATH(LOG(S5+1,2))+_xlfn.CEILING.MATH(LOG(S5+1,2)))</f>
        <v>17</v>
      </c>
    </row>
    <row r="6" spans="1:22">
      <c r="B6" s="3" t="s">
        <v>13</v>
      </c>
      <c r="C6" s="3">
        <v>0</v>
      </c>
      <c r="D6" s="8">
        <v>810</v>
      </c>
      <c r="E6" s="10" t="str">
        <f t="shared" si="0"/>
        <v>N/A</v>
      </c>
      <c r="G6" s="3" t="s">
        <v>13</v>
      </c>
      <c r="H6" s="3">
        <v>0</v>
      </c>
      <c r="I6" s="3">
        <v>2338</v>
      </c>
      <c r="J6" s="10" t="str">
        <f t="shared" si="1"/>
        <v>N/A</v>
      </c>
      <c r="L6" s="3" t="s">
        <v>13</v>
      </c>
      <c r="M6" s="3">
        <v>0</v>
      </c>
      <c r="N6" s="3">
        <v>5934</v>
      </c>
      <c r="O6" s="10" t="str">
        <f t="shared" si="2"/>
        <v>N/A</v>
      </c>
      <c r="S6" s="3">
        <v>5</v>
      </c>
      <c r="T6" s="4">
        <f t="shared" si="3"/>
        <v>14</v>
      </c>
      <c r="U6" s="4">
        <f t="shared" si="4"/>
        <v>16</v>
      </c>
      <c r="V6" s="4">
        <f t="shared" si="5"/>
        <v>18</v>
      </c>
    </row>
    <row r="7" spans="1:22">
      <c r="B7" s="3" t="s">
        <v>14</v>
      </c>
      <c r="C7" s="3">
        <v>2004</v>
      </c>
      <c r="D7" s="8">
        <v>1620</v>
      </c>
      <c r="E7" s="10">
        <f t="shared" si="0"/>
        <v>0.19161676646706582</v>
      </c>
      <c r="G7" s="3" t="s">
        <v>15</v>
      </c>
      <c r="H7" s="3">
        <v>7225</v>
      </c>
      <c r="I7" s="3">
        <v>5845</v>
      </c>
      <c r="J7" s="10">
        <f t="shared" si="1"/>
        <v>0.1910034602076125</v>
      </c>
      <c r="L7" s="3" t="s">
        <v>15</v>
      </c>
      <c r="M7" s="3">
        <v>22218</v>
      </c>
      <c r="N7" s="3">
        <v>17802</v>
      </c>
      <c r="O7" s="10">
        <f t="shared" si="2"/>
        <v>0.19875776397515532</v>
      </c>
      <c r="S7" s="3">
        <v>6</v>
      </c>
      <c r="T7" s="4">
        <f t="shared" si="3"/>
        <v>15</v>
      </c>
      <c r="U7" s="4">
        <f t="shared" si="4"/>
        <v>17</v>
      </c>
      <c r="V7" s="4">
        <f t="shared" si="5"/>
        <v>19</v>
      </c>
    </row>
    <row r="8" spans="1:22">
      <c r="B8" s="3" t="s">
        <v>15</v>
      </c>
      <c r="C8" s="3">
        <v>2004</v>
      </c>
      <c r="D8" s="8">
        <v>1620</v>
      </c>
      <c r="E8" s="10">
        <f t="shared" si="0"/>
        <v>0.19161676646706582</v>
      </c>
      <c r="G8" s="3" t="s">
        <v>16</v>
      </c>
      <c r="H8" s="3">
        <v>7225</v>
      </c>
      <c r="I8" s="3">
        <v>5845</v>
      </c>
      <c r="J8" s="10">
        <f t="shared" si="1"/>
        <v>0.1910034602076125</v>
      </c>
      <c r="L8" s="3" t="s">
        <v>16</v>
      </c>
      <c r="M8" s="3">
        <v>22218</v>
      </c>
      <c r="N8" s="3">
        <v>17802</v>
      </c>
      <c r="O8" s="10">
        <f t="shared" si="2"/>
        <v>0.19875776397515532</v>
      </c>
      <c r="S8" s="3">
        <v>7</v>
      </c>
      <c r="T8" s="4">
        <f t="shared" si="3"/>
        <v>16</v>
      </c>
      <c r="U8" s="4">
        <f t="shared" si="4"/>
        <v>18</v>
      </c>
      <c r="V8" s="4">
        <f t="shared" si="5"/>
        <v>20</v>
      </c>
    </row>
    <row r="9" spans="1:22">
      <c r="B9" s="3" t="s">
        <v>17</v>
      </c>
      <c r="C9" s="3">
        <v>501</v>
      </c>
      <c r="D9" s="8">
        <v>405</v>
      </c>
      <c r="E9" s="10">
        <f t="shared" si="0"/>
        <v>0.19161676646706582</v>
      </c>
      <c r="G9" s="3" t="s">
        <v>17</v>
      </c>
      <c r="H9" s="3">
        <v>1445</v>
      </c>
      <c r="I9" s="3">
        <v>1169</v>
      </c>
      <c r="J9" s="10">
        <f t="shared" si="1"/>
        <v>0.1910034602076125</v>
      </c>
      <c r="L9" s="3" t="s">
        <v>17</v>
      </c>
      <c r="M9" s="3">
        <v>3703</v>
      </c>
      <c r="N9" s="3">
        <v>2967</v>
      </c>
      <c r="O9" s="10">
        <f t="shared" si="2"/>
        <v>0.19875776397515532</v>
      </c>
      <c r="S9" s="3">
        <v>8</v>
      </c>
      <c r="T9" s="4">
        <f t="shared" si="3"/>
        <v>18</v>
      </c>
      <c r="U9" s="4">
        <f t="shared" si="4"/>
        <v>20</v>
      </c>
      <c r="V9" s="4">
        <f t="shared" si="5"/>
        <v>23</v>
      </c>
    </row>
    <row r="10" spans="1:22">
      <c r="B10" s="3" t="s">
        <v>18</v>
      </c>
      <c r="C10" s="3">
        <v>501</v>
      </c>
      <c r="D10" s="8">
        <v>405</v>
      </c>
      <c r="E10" s="10">
        <f t="shared" si="0"/>
        <v>0.19161676646706582</v>
      </c>
      <c r="G10" s="3" t="s">
        <v>18</v>
      </c>
      <c r="H10" s="3">
        <v>1445</v>
      </c>
      <c r="I10" s="3">
        <v>1169</v>
      </c>
      <c r="J10" s="10">
        <f t="shared" si="1"/>
        <v>0.1910034602076125</v>
      </c>
      <c r="L10" s="3" t="s">
        <v>18</v>
      </c>
      <c r="M10" s="3">
        <v>3703</v>
      </c>
      <c r="N10" s="3">
        <v>2967</v>
      </c>
      <c r="O10" s="10">
        <f t="shared" si="2"/>
        <v>0.19875776397515532</v>
      </c>
      <c r="S10" s="3">
        <v>9</v>
      </c>
      <c r="T10" s="4">
        <f t="shared" si="3"/>
        <v>19</v>
      </c>
      <c r="U10" s="4">
        <f t="shared" si="4"/>
        <v>21</v>
      </c>
      <c r="V10" s="4">
        <f t="shared" si="5"/>
        <v>24</v>
      </c>
    </row>
    <row r="11" spans="1:22">
      <c r="B11" s="3" t="s">
        <v>19</v>
      </c>
      <c r="C11" s="3">
        <v>501</v>
      </c>
      <c r="D11" s="8">
        <v>405</v>
      </c>
      <c r="E11" s="10">
        <f t="shared" si="0"/>
        <v>0.19161676646706582</v>
      </c>
      <c r="G11" s="3" t="s">
        <v>19</v>
      </c>
      <c r="H11" s="3">
        <v>1445</v>
      </c>
      <c r="I11" s="3">
        <v>1169</v>
      </c>
      <c r="J11" s="10">
        <f t="shared" si="1"/>
        <v>0.1910034602076125</v>
      </c>
      <c r="L11" s="3" t="s">
        <v>19</v>
      </c>
      <c r="M11" s="3">
        <v>3703</v>
      </c>
      <c r="N11" s="3">
        <v>2967</v>
      </c>
      <c r="O11" s="10">
        <f t="shared" si="2"/>
        <v>0.19875776397515532</v>
      </c>
      <c r="S11" s="3">
        <v>10</v>
      </c>
      <c r="T11" s="4">
        <f t="shared" si="3"/>
        <v>20</v>
      </c>
      <c r="U11" s="4">
        <f t="shared" si="4"/>
        <v>22</v>
      </c>
      <c r="V11" s="4">
        <f t="shared" si="5"/>
        <v>25</v>
      </c>
    </row>
    <row r="12" spans="1:22">
      <c r="B12" s="5" t="s">
        <v>20</v>
      </c>
      <c r="C12" s="3">
        <v>501</v>
      </c>
      <c r="D12" s="8">
        <v>405</v>
      </c>
      <c r="E12" s="10">
        <f t="shared" si="0"/>
        <v>0.19161676646706582</v>
      </c>
      <c r="G12" s="5" t="s">
        <v>20</v>
      </c>
      <c r="H12" s="3">
        <v>1445</v>
      </c>
      <c r="I12" s="3">
        <v>1169</v>
      </c>
      <c r="J12" s="10">
        <f t="shared" si="1"/>
        <v>0.1910034602076125</v>
      </c>
      <c r="L12" s="5" t="s">
        <v>20</v>
      </c>
      <c r="M12" s="3">
        <v>3703</v>
      </c>
      <c r="N12" s="3">
        <v>2967</v>
      </c>
      <c r="O12" s="10">
        <f t="shared" si="2"/>
        <v>0.19875776397515532</v>
      </c>
      <c r="S12" s="4">
        <v>11</v>
      </c>
      <c r="T12" s="4">
        <f t="shared" si="3"/>
        <v>21</v>
      </c>
      <c r="U12" s="4">
        <f t="shared" si="4"/>
        <v>23</v>
      </c>
      <c r="V12" s="4">
        <f t="shared" si="5"/>
        <v>26</v>
      </c>
    </row>
    <row r="13" spans="1:22">
      <c r="B13" s="3" t="s">
        <v>21</v>
      </c>
      <c r="C13" s="3">
        <v>501</v>
      </c>
      <c r="D13" s="8">
        <v>405</v>
      </c>
      <c r="E13" s="10">
        <f t="shared" si="0"/>
        <v>0.19161676646706582</v>
      </c>
      <c r="G13" s="3" t="s">
        <v>21</v>
      </c>
      <c r="H13" s="3">
        <v>1445</v>
      </c>
      <c r="I13" s="3">
        <v>1169</v>
      </c>
      <c r="J13" s="10">
        <f t="shared" si="1"/>
        <v>0.1910034602076125</v>
      </c>
      <c r="L13" s="3" t="s">
        <v>21</v>
      </c>
      <c r="M13" s="3">
        <v>3703</v>
      </c>
      <c r="N13" s="3">
        <v>2967</v>
      </c>
      <c r="O13" s="10">
        <f t="shared" si="2"/>
        <v>0.19875776397515532</v>
      </c>
      <c r="S13" s="4">
        <v>12</v>
      </c>
      <c r="T13" s="4">
        <f t="shared" si="3"/>
        <v>22</v>
      </c>
      <c r="U13" s="4">
        <f t="shared" si="4"/>
        <v>24</v>
      </c>
      <c r="V13" s="4">
        <f t="shared" si="5"/>
        <v>27</v>
      </c>
    </row>
    <row r="14" spans="1:22">
      <c r="C14" s="6"/>
      <c r="S14" s="3">
        <v>13</v>
      </c>
      <c r="T14" s="4">
        <f t="shared" si="3"/>
        <v>23</v>
      </c>
      <c r="U14" s="4">
        <f t="shared" si="4"/>
        <v>25</v>
      </c>
      <c r="V14" s="4">
        <f t="shared" si="5"/>
        <v>28</v>
      </c>
    </row>
    <row r="15" spans="1:22">
      <c r="S15" s="3">
        <v>14</v>
      </c>
      <c r="T15" s="4">
        <f t="shared" si="3"/>
        <v>24</v>
      </c>
      <c r="U15" s="4">
        <f t="shared" si="4"/>
        <v>26</v>
      </c>
      <c r="V15" s="4">
        <f t="shared" si="5"/>
        <v>29</v>
      </c>
    </row>
    <row r="16" spans="1:22">
      <c r="B16" s="1"/>
      <c r="C16" s="7" t="s">
        <v>0</v>
      </c>
      <c r="D16" s="1" t="s">
        <v>1</v>
      </c>
      <c r="E16" s="3" t="s">
        <v>2</v>
      </c>
      <c r="G16" s="1"/>
      <c r="H16" s="7" t="s">
        <v>0</v>
      </c>
      <c r="I16" s="1" t="s">
        <v>1</v>
      </c>
      <c r="J16" s="3" t="s">
        <v>2</v>
      </c>
      <c r="L16" s="1"/>
      <c r="M16" s="7" t="s">
        <v>0</v>
      </c>
      <c r="N16" s="1" t="s">
        <v>1</v>
      </c>
      <c r="O16" s="3" t="s">
        <v>2</v>
      </c>
      <c r="S16" s="3">
        <v>15</v>
      </c>
      <c r="T16" s="4">
        <f t="shared" si="3"/>
        <v>25</v>
      </c>
      <c r="U16" s="4">
        <f t="shared" si="4"/>
        <v>27</v>
      </c>
      <c r="V16" s="4">
        <f t="shared" si="5"/>
        <v>30</v>
      </c>
    </row>
    <row r="17" spans="2:22">
      <c r="B17" s="4" t="s">
        <v>3</v>
      </c>
      <c r="C17" s="13" t="s">
        <v>22</v>
      </c>
      <c r="D17" s="14"/>
      <c r="E17" s="9"/>
      <c r="G17" s="4" t="s">
        <v>3</v>
      </c>
      <c r="H17" s="13" t="s">
        <v>23</v>
      </c>
      <c r="I17" s="14"/>
      <c r="J17" s="9"/>
      <c r="L17" s="4" t="s">
        <v>3</v>
      </c>
      <c r="M17" s="13" t="s">
        <v>24</v>
      </c>
      <c r="N17" s="14"/>
      <c r="O17" s="9"/>
      <c r="S17" s="3">
        <v>16</v>
      </c>
      <c r="T17" s="4">
        <f t="shared" si="3"/>
        <v>27</v>
      </c>
      <c r="U17" s="4">
        <f t="shared" si="4"/>
        <v>29</v>
      </c>
      <c r="V17" s="4">
        <f t="shared" si="5"/>
        <v>33</v>
      </c>
    </row>
    <row r="18" spans="2:22">
      <c r="B18" s="4" t="s">
        <v>11</v>
      </c>
      <c r="C18" s="3">
        <v>15</v>
      </c>
      <c r="D18" s="3">
        <v>17</v>
      </c>
      <c r="E18" s="10">
        <f>IF(C18=0,"N/A",(1-(D18/C18)))</f>
        <v>-0.1333333333333333</v>
      </c>
      <c r="G18" s="4" t="s">
        <v>11</v>
      </c>
      <c r="H18" s="3">
        <v>16</v>
      </c>
      <c r="I18" s="3">
        <v>18</v>
      </c>
      <c r="J18" s="10">
        <f>IF(H18=0,"N/A",(1-(I18/H18)))</f>
        <v>-0.125</v>
      </c>
      <c r="L18" s="4" t="s">
        <v>11</v>
      </c>
      <c r="M18" s="3">
        <v>18</v>
      </c>
      <c r="N18" s="3">
        <v>20</v>
      </c>
      <c r="O18" s="10">
        <f>IF(M18=0,"N/A",(1-(N18/M18)))</f>
        <v>-0.11111111111111116</v>
      </c>
      <c r="S18" s="3">
        <v>17</v>
      </c>
      <c r="T18" s="4">
        <f t="shared" si="3"/>
        <v>28</v>
      </c>
      <c r="U18" s="4">
        <f t="shared" si="4"/>
        <v>30</v>
      </c>
      <c r="V18" s="4">
        <f t="shared" si="5"/>
        <v>34</v>
      </c>
    </row>
    <row r="19" spans="2:22">
      <c r="B19" s="4" t="s">
        <v>12</v>
      </c>
      <c r="C19" s="3">
        <v>331688</v>
      </c>
      <c r="D19" s="3">
        <v>269672</v>
      </c>
      <c r="E19" s="10">
        <f t="shared" ref="E19:E27" si="6">IF(C19=0,"N/A",(1-(D19/C19)))</f>
        <v>0.1869708883046719</v>
      </c>
      <c r="G19" s="4" t="s">
        <v>12</v>
      </c>
      <c r="H19" s="3">
        <v>714022</v>
      </c>
      <c r="I19" s="3">
        <v>576934</v>
      </c>
      <c r="J19" s="10">
        <f t="shared" ref="J19:J27" si="7">IF(H19=0,"N/A",(1-(I19/H19)))</f>
        <v>0.19199408421589248</v>
      </c>
      <c r="L19" s="4" t="s">
        <v>12</v>
      </c>
      <c r="M19" s="3">
        <v>2460776</v>
      </c>
      <c r="N19" s="3">
        <v>1952840</v>
      </c>
      <c r="O19" s="10">
        <f t="shared" ref="O19:O27" si="8">IF(M19=0,"N/A",(1-(N19/M19)))</f>
        <v>0.20641293640705205</v>
      </c>
      <c r="S19" s="3">
        <v>18</v>
      </c>
      <c r="T19" s="4">
        <f t="shared" si="3"/>
        <v>29</v>
      </c>
      <c r="U19" s="4">
        <f t="shared" si="4"/>
        <v>31</v>
      </c>
      <c r="V19" s="4">
        <f t="shared" si="5"/>
        <v>35</v>
      </c>
    </row>
    <row r="20" spans="2:22">
      <c r="B20" s="3" t="s">
        <v>13</v>
      </c>
      <c r="C20" s="3">
        <v>0</v>
      </c>
      <c r="D20" s="3">
        <v>13784</v>
      </c>
      <c r="E20" s="10" t="str">
        <f t="shared" si="6"/>
        <v>N/A</v>
      </c>
      <c r="G20" s="3" t="s">
        <v>13</v>
      </c>
      <c r="H20" s="3">
        <v>0</v>
      </c>
      <c r="I20" s="3">
        <v>29266</v>
      </c>
      <c r="J20" s="10" t="str">
        <f t="shared" si="7"/>
        <v>N/A</v>
      </c>
      <c r="L20" s="3" t="s">
        <v>13</v>
      </c>
      <c r="M20" s="3">
        <v>0</v>
      </c>
      <c r="N20" s="3">
        <v>54896</v>
      </c>
      <c r="O20" s="10" t="str">
        <f t="shared" si="8"/>
        <v>N/A</v>
      </c>
      <c r="S20" s="4">
        <v>19</v>
      </c>
      <c r="T20" s="4">
        <f t="shared" si="3"/>
        <v>30</v>
      </c>
      <c r="U20" s="4">
        <f t="shared" si="4"/>
        <v>32</v>
      </c>
      <c r="V20" s="4">
        <f t="shared" si="5"/>
        <v>36</v>
      </c>
    </row>
    <row r="21" spans="2:22">
      <c r="B21" s="3" t="s">
        <v>15</v>
      </c>
      <c r="C21" s="3">
        <v>61012</v>
      </c>
      <c r="D21" s="3">
        <v>48244</v>
      </c>
      <c r="E21" s="10">
        <f t="shared" si="6"/>
        <v>0.20927030748049569</v>
      </c>
      <c r="G21" s="3" t="s">
        <v>15</v>
      </c>
      <c r="H21" s="3">
        <v>149320</v>
      </c>
      <c r="I21" s="3">
        <v>117064</v>
      </c>
      <c r="J21" s="10">
        <f t="shared" si="7"/>
        <v>0.21601928743637822</v>
      </c>
      <c r="L21" s="3" t="s">
        <v>16</v>
      </c>
      <c r="M21" s="3">
        <v>316296</v>
      </c>
      <c r="N21" s="3">
        <v>247032</v>
      </c>
      <c r="O21" s="10">
        <f t="shared" si="8"/>
        <v>0.21898474846346461</v>
      </c>
      <c r="S21" s="4">
        <v>20</v>
      </c>
      <c r="T21" s="4">
        <f t="shared" si="3"/>
        <v>31</v>
      </c>
      <c r="U21" s="4">
        <f t="shared" si="4"/>
        <v>33</v>
      </c>
      <c r="V21" s="4">
        <f t="shared" si="5"/>
        <v>37</v>
      </c>
    </row>
    <row r="22" spans="2:22">
      <c r="B22" s="3" t="s">
        <v>16</v>
      </c>
      <c r="C22" s="3">
        <v>61012</v>
      </c>
      <c r="D22" s="3">
        <v>48244</v>
      </c>
      <c r="E22" s="10">
        <f t="shared" si="6"/>
        <v>0.20927030748049569</v>
      </c>
      <c r="G22" s="3" t="s">
        <v>16</v>
      </c>
      <c r="H22" s="3">
        <v>149320</v>
      </c>
      <c r="I22" s="3">
        <v>117064</v>
      </c>
      <c r="J22" s="10">
        <f t="shared" si="7"/>
        <v>0.21601928743637822</v>
      </c>
      <c r="L22" s="3" t="s">
        <v>25</v>
      </c>
      <c r="M22" s="3">
        <v>316296</v>
      </c>
      <c r="N22" s="3">
        <v>247032</v>
      </c>
      <c r="O22" s="10">
        <f t="shared" si="8"/>
        <v>0.21898474846346461</v>
      </c>
      <c r="S22" s="3">
        <v>30</v>
      </c>
      <c r="T22" s="4">
        <f t="shared" si="3"/>
        <v>41</v>
      </c>
      <c r="U22" s="4">
        <f t="shared" si="4"/>
        <v>43</v>
      </c>
      <c r="V22" s="4">
        <f t="shared" si="5"/>
        <v>47</v>
      </c>
    </row>
    <row r="23" spans="2:22">
      <c r="B23" s="3" t="s">
        <v>17</v>
      </c>
      <c r="C23" s="3">
        <v>8716</v>
      </c>
      <c r="D23" s="3">
        <v>6892</v>
      </c>
      <c r="E23" s="10">
        <f t="shared" si="6"/>
        <v>0.20927030748049569</v>
      </c>
      <c r="G23" s="3" t="s">
        <v>17</v>
      </c>
      <c r="H23" s="3">
        <v>18665</v>
      </c>
      <c r="I23" s="3">
        <v>14633</v>
      </c>
      <c r="J23" s="10">
        <f t="shared" si="7"/>
        <v>0.21601928743637822</v>
      </c>
      <c r="L23" s="3" t="s">
        <v>17</v>
      </c>
      <c r="M23" s="3">
        <v>35144</v>
      </c>
      <c r="N23" s="3">
        <v>27448</v>
      </c>
      <c r="O23" s="10">
        <f t="shared" si="8"/>
        <v>0.21898474846346461</v>
      </c>
      <c r="S23" s="3">
        <v>40</v>
      </c>
      <c r="T23" s="4">
        <f t="shared" si="3"/>
        <v>52</v>
      </c>
      <c r="U23" s="4">
        <f t="shared" si="4"/>
        <v>54</v>
      </c>
      <c r="V23" s="4">
        <f t="shared" si="5"/>
        <v>59</v>
      </c>
    </row>
    <row r="24" spans="2:22">
      <c r="B24" s="3" t="s">
        <v>18</v>
      </c>
      <c r="C24" s="3">
        <v>8716</v>
      </c>
      <c r="D24" s="3">
        <v>6892</v>
      </c>
      <c r="E24" s="10">
        <f t="shared" si="6"/>
        <v>0.20927030748049569</v>
      </c>
      <c r="G24" s="3" t="s">
        <v>18</v>
      </c>
      <c r="H24" s="3">
        <v>18665</v>
      </c>
      <c r="I24" s="3">
        <v>14633</v>
      </c>
      <c r="J24" s="10">
        <f t="shared" si="7"/>
        <v>0.21601928743637822</v>
      </c>
      <c r="L24" s="3" t="s">
        <v>18</v>
      </c>
      <c r="M24" s="3">
        <v>35144</v>
      </c>
      <c r="N24" s="3">
        <v>27448</v>
      </c>
      <c r="O24" s="10">
        <f t="shared" si="8"/>
        <v>0.21898474846346461</v>
      </c>
      <c r="S24" s="3">
        <v>50</v>
      </c>
      <c r="T24" s="4">
        <f t="shared" si="3"/>
        <v>62</v>
      </c>
      <c r="U24" s="4">
        <f t="shared" si="4"/>
        <v>64</v>
      </c>
      <c r="V24" s="4">
        <f t="shared" si="5"/>
        <v>69</v>
      </c>
    </row>
    <row r="25" spans="2:22">
      <c r="B25" s="3" t="s">
        <v>19</v>
      </c>
      <c r="C25" s="3">
        <v>8716</v>
      </c>
      <c r="D25" s="3">
        <v>6892</v>
      </c>
      <c r="E25" s="10">
        <f t="shared" si="6"/>
        <v>0.20927030748049569</v>
      </c>
      <c r="G25" s="3" t="s">
        <v>19</v>
      </c>
      <c r="H25" s="3">
        <v>18665</v>
      </c>
      <c r="I25" s="3">
        <v>14633</v>
      </c>
      <c r="J25" s="10">
        <f t="shared" si="7"/>
        <v>0.21601928743637822</v>
      </c>
      <c r="L25" s="3" t="s">
        <v>19</v>
      </c>
      <c r="M25" s="3">
        <v>35144</v>
      </c>
      <c r="N25" s="3">
        <v>27448</v>
      </c>
      <c r="O25" s="10">
        <f t="shared" si="8"/>
        <v>0.21898474846346461</v>
      </c>
      <c r="S25" s="3">
        <v>60</v>
      </c>
      <c r="T25" s="4">
        <f t="shared" si="3"/>
        <v>72</v>
      </c>
      <c r="U25" s="4">
        <f t="shared" si="4"/>
        <v>74</v>
      </c>
      <c r="V25" s="4">
        <f t="shared" si="5"/>
        <v>79</v>
      </c>
    </row>
    <row r="26" spans="2:22">
      <c r="B26" s="5" t="s">
        <v>20</v>
      </c>
      <c r="C26" s="3">
        <v>8716</v>
      </c>
      <c r="D26" s="3">
        <v>6892</v>
      </c>
      <c r="E26" s="10">
        <f t="shared" si="6"/>
        <v>0.20927030748049569</v>
      </c>
      <c r="G26" s="5" t="s">
        <v>20</v>
      </c>
      <c r="H26" s="3">
        <v>18665</v>
      </c>
      <c r="I26" s="3">
        <v>14633</v>
      </c>
      <c r="J26" s="10">
        <f t="shared" si="7"/>
        <v>0.21601928743637822</v>
      </c>
      <c r="L26" s="5" t="s">
        <v>20</v>
      </c>
      <c r="M26" s="3">
        <v>35144</v>
      </c>
      <c r="N26" s="3">
        <v>27448</v>
      </c>
      <c r="O26" s="10">
        <f t="shared" si="8"/>
        <v>0.21898474846346461</v>
      </c>
      <c r="S26" s="5">
        <v>70</v>
      </c>
      <c r="T26" s="4">
        <f t="shared" si="3"/>
        <v>83</v>
      </c>
      <c r="U26" s="4">
        <f t="shared" si="4"/>
        <v>85</v>
      </c>
      <c r="V26" s="4">
        <f t="shared" si="5"/>
        <v>91</v>
      </c>
    </row>
    <row r="27" spans="2:22">
      <c r="B27" s="3" t="s">
        <v>21</v>
      </c>
      <c r="C27" s="3">
        <v>8716</v>
      </c>
      <c r="D27" s="3">
        <v>6892</v>
      </c>
      <c r="E27" s="10">
        <f t="shared" si="6"/>
        <v>0.20927030748049569</v>
      </c>
      <c r="G27" s="3" t="s">
        <v>21</v>
      </c>
      <c r="H27" s="3">
        <v>18665</v>
      </c>
      <c r="I27" s="3">
        <v>14633</v>
      </c>
      <c r="J27" s="10">
        <f t="shared" si="7"/>
        <v>0.21601928743637822</v>
      </c>
      <c r="L27" s="3" t="s">
        <v>21</v>
      </c>
      <c r="M27" s="3">
        <v>35144</v>
      </c>
      <c r="N27" s="3">
        <v>27448</v>
      </c>
      <c r="O27" s="10">
        <f t="shared" si="8"/>
        <v>0.21898474846346461</v>
      </c>
      <c r="S27" s="3">
        <v>80</v>
      </c>
      <c r="T27" s="4">
        <f t="shared" si="3"/>
        <v>93</v>
      </c>
      <c r="U27" s="4">
        <f t="shared" si="4"/>
        <v>95</v>
      </c>
      <c r="V27" s="4">
        <f t="shared" si="5"/>
        <v>101</v>
      </c>
    </row>
    <row r="28" spans="2:22">
      <c r="S28" s="5">
        <v>90</v>
      </c>
      <c r="T28" s="4">
        <f t="shared" si="3"/>
        <v>103</v>
      </c>
      <c r="U28" s="4">
        <f t="shared" si="4"/>
        <v>105</v>
      </c>
      <c r="V28" s="4">
        <f t="shared" si="5"/>
        <v>111</v>
      </c>
    </row>
    <row r="29" spans="2:22">
      <c r="S29" s="3">
        <v>100</v>
      </c>
      <c r="T29" s="4">
        <f t="shared" si="3"/>
        <v>113</v>
      </c>
      <c r="U29" s="4">
        <f t="shared" si="4"/>
        <v>115</v>
      </c>
      <c r="V29" s="4">
        <f t="shared" si="5"/>
        <v>121</v>
      </c>
    </row>
    <row r="30" spans="2:22">
      <c r="S30" s="6"/>
    </row>
    <row r="31" spans="2:22">
      <c r="S31" s="3" t="s">
        <v>7</v>
      </c>
      <c r="T31" s="3" t="s">
        <v>8</v>
      </c>
      <c r="U31" s="3" t="s">
        <v>9</v>
      </c>
      <c r="V31" s="3" t="s">
        <v>10</v>
      </c>
    </row>
    <row r="32" spans="2:22">
      <c r="B32" s="3" t="s">
        <v>3</v>
      </c>
      <c r="C32" s="3" t="s">
        <v>26</v>
      </c>
      <c r="D32" s="3" t="s">
        <v>27</v>
      </c>
      <c r="E32" s="3" t="s">
        <v>2</v>
      </c>
      <c r="S32" s="4">
        <v>3</v>
      </c>
      <c r="T32" s="3">
        <v>501</v>
      </c>
      <c r="U32" s="8">
        <v>405</v>
      </c>
      <c r="V32" s="3">
        <v>309</v>
      </c>
    </row>
    <row r="33" spans="2:22">
      <c r="B33" s="11" t="s">
        <v>4</v>
      </c>
      <c r="C33" s="8">
        <v>9102</v>
      </c>
      <c r="D33" s="3">
        <v>5024</v>
      </c>
      <c r="E33" s="10">
        <f t="shared" ref="E33:E37" si="9">IF(C33=0,"N/A",(1-(D33/C33)))</f>
        <v>0.44803339925291141</v>
      </c>
      <c r="S33" s="4">
        <v>4</v>
      </c>
      <c r="T33" s="3">
        <v>1445</v>
      </c>
      <c r="U33" s="3">
        <v>1169</v>
      </c>
      <c r="V33" s="3">
        <v>893</v>
      </c>
    </row>
    <row r="34" spans="2:22">
      <c r="B34" s="3" t="s">
        <v>5</v>
      </c>
      <c r="C34" s="3">
        <v>44940</v>
      </c>
      <c r="D34" s="3">
        <v>20598</v>
      </c>
      <c r="E34" s="10">
        <f t="shared" si="9"/>
        <v>0.54165554072096134</v>
      </c>
      <c r="S34" s="3">
        <v>5</v>
      </c>
      <c r="T34" s="3">
        <v>3703</v>
      </c>
      <c r="U34" s="3">
        <v>2967</v>
      </c>
      <c r="V34" s="3">
        <v>2231</v>
      </c>
    </row>
    <row r="35" spans="2:22">
      <c r="B35" s="11" t="s">
        <v>6</v>
      </c>
      <c r="C35" s="3">
        <v>115560</v>
      </c>
      <c r="D35" s="3">
        <v>51254</v>
      </c>
      <c r="E35" s="10">
        <f t="shared" si="9"/>
        <v>0.556472827968155</v>
      </c>
      <c r="S35" s="3">
        <v>6</v>
      </c>
      <c r="T35" s="3">
        <v>8716</v>
      </c>
      <c r="U35" s="3">
        <v>6892</v>
      </c>
      <c r="V35" s="3">
        <v>5068</v>
      </c>
    </row>
    <row r="36" spans="2:22">
      <c r="B36" s="3" t="s">
        <v>22</v>
      </c>
      <c r="C36" s="3">
        <v>269672</v>
      </c>
      <c r="D36" s="3">
        <v>120464</v>
      </c>
      <c r="E36" s="10">
        <f t="shared" si="9"/>
        <v>0.55329437242279511</v>
      </c>
      <c r="S36" s="3">
        <v>7</v>
      </c>
      <c r="T36" s="3">
        <v>18665</v>
      </c>
      <c r="U36" s="3">
        <v>14633</v>
      </c>
      <c r="V36" s="3">
        <v>10601</v>
      </c>
    </row>
    <row r="37" spans="2:22">
      <c r="B37" s="3" t="s">
        <v>23</v>
      </c>
      <c r="C37" s="3">
        <v>576934</v>
      </c>
      <c r="D37" s="3">
        <v>254092</v>
      </c>
      <c r="E37" s="10">
        <f t="shared" si="9"/>
        <v>0.55958220524358071</v>
      </c>
      <c r="S37" s="3">
        <v>8</v>
      </c>
      <c r="T37" s="3">
        <v>35144</v>
      </c>
      <c r="U37" s="3">
        <v>27448</v>
      </c>
      <c r="V37" s="3">
        <v>19752</v>
      </c>
    </row>
    <row r="38" spans="2:22">
      <c r="B38" s="11" t="s">
        <v>24</v>
      </c>
      <c r="C38" s="3">
        <v>1952840</v>
      </c>
      <c r="D38" s="3">
        <v>734656</v>
      </c>
      <c r="E38" s="10">
        <f>IF(C38=0,"N/A",(1-(D38/C38)))</f>
        <v>0.62380123307593038</v>
      </c>
    </row>
    <row r="40" spans="2:22">
      <c r="E40" s="12"/>
    </row>
    <row r="41" spans="2:22">
      <c r="E41" s="12"/>
    </row>
    <row r="42" spans="2:22">
      <c r="B42" s="1"/>
      <c r="C42" s="8" t="s">
        <v>1</v>
      </c>
      <c r="D42" s="8" t="s">
        <v>28</v>
      </c>
      <c r="E42" s="3" t="s">
        <v>2</v>
      </c>
      <c r="G42" s="1"/>
      <c r="H42" s="7" t="s">
        <v>1</v>
      </c>
      <c r="I42" s="3" t="s">
        <v>28</v>
      </c>
      <c r="J42" s="3" t="s">
        <v>2</v>
      </c>
      <c r="L42" s="1"/>
      <c r="M42" s="3" t="s">
        <v>1</v>
      </c>
      <c r="N42" s="3" t="s">
        <v>28</v>
      </c>
      <c r="O42" s="3" t="s">
        <v>2</v>
      </c>
    </row>
    <row r="43" spans="2:22">
      <c r="B43" s="4" t="s">
        <v>3</v>
      </c>
      <c r="C43" s="13" t="s">
        <v>4</v>
      </c>
      <c r="D43" s="15"/>
      <c r="E43" s="9"/>
      <c r="G43" s="4" t="s">
        <v>3</v>
      </c>
      <c r="H43" s="13" t="s">
        <v>5</v>
      </c>
      <c r="I43" s="14"/>
      <c r="J43" s="9"/>
      <c r="L43" s="4" t="s">
        <v>3</v>
      </c>
      <c r="M43" s="13" t="s">
        <v>6</v>
      </c>
      <c r="N43" s="14"/>
      <c r="O43" s="9"/>
    </row>
    <row r="44" spans="2:22">
      <c r="B44" s="4" t="s">
        <v>11</v>
      </c>
      <c r="C44" s="8">
        <v>13</v>
      </c>
      <c r="D44" s="8">
        <v>14</v>
      </c>
      <c r="E44" s="10">
        <f>IF(C44=0,"N/A",(1-(D44/C44)))</f>
        <v>-7.6923076923076872E-2</v>
      </c>
      <c r="G44" s="4" t="s">
        <v>11</v>
      </c>
      <c r="H44" s="3">
        <v>15</v>
      </c>
      <c r="I44" s="3">
        <v>17</v>
      </c>
      <c r="J44" s="10">
        <f>IF(H44=0,"N/A",(1-(I44/H44)))</f>
        <v>-0.1333333333333333</v>
      </c>
      <c r="L44" s="4" t="s">
        <v>11</v>
      </c>
      <c r="M44" s="3">
        <v>16</v>
      </c>
      <c r="N44" s="3">
        <v>18</v>
      </c>
      <c r="O44" s="10">
        <f>IF(M44=0,"N/A",(1-(N44/M44)))</f>
        <v>-0.125</v>
      </c>
    </row>
    <row r="45" spans="2:22">
      <c r="B45" s="4" t="s">
        <v>12</v>
      </c>
      <c r="C45" s="8">
        <v>9102</v>
      </c>
      <c r="D45" s="8">
        <v>7636</v>
      </c>
      <c r="E45" s="10">
        <f t="shared" ref="E45:E53" si="10">IF(C45=0,"N/A",(1-(D45/C45)))</f>
        <v>0.16106350252691715</v>
      </c>
      <c r="G45" s="4" t="s">
        <v>12</v>
      </c>
      <c r="H45" s="3">
        <v>44940</v>
      </c>
      <c r="I45" s="3">
        <v>37710</v>
      </c>
      <c r="J45" s="10">
        <f t="shared" ref="J45:J53" si="11">IF(H45=0,"N/A",(1-(I45/H45)))</f>
        <v>0.16088117489986653</v>
      </c>
      <c r="L45" s="4" t="s">
        <v>12</v>
      </c>
      <c r="M45" s="3">
        <v>115560</v>
      </c>
      <c r="N45" s="3">
        <v>93214</v>
      </c>
      <c r="O45" s="10">
        <f t="shared" ref="O45:O53" si="12">IF(M45=0,"N/A",(1-(N45/M45)))</f>
        <v>0.19337140879196957</v>
      </c>
    </row>
    <row r="46" spans="2:22">
      <c r="B46" s="3" t="s">
        <v>13</v>
      </c>
      <c r="C46" s="8">
        <v>810</v>
      </c>
      <c r="D46" s="8">
        <v>0</v>
      </c>
      <c r="E46" s="10">
        <f t="shared" si="10"/>
        <v>1</v>
      </c>
      <c r="G46" s="3" t="s">
        <v>13</v>
      </c>
      <c r="H46" s="3">
        <v>2338</v>
      </c>
      <c r="I46" s="3">
        <v>0</v>
      </c>
      <c r="J46" s="10">
        <f t="shared" si="11"/>
        <v>1</v>
      </c>
      <c r="L46" s="3" t="s">
        <v>13</v>
      </c>
      <c r="M46" s="3">
        <v>5934</v>
      </c>
      <c r="N46" s="3">
        <v>0</v>
      </c>
      <c r="O46" s="10">
        <f t="shared" si="12"/>
        <v>1</v>
      </c>
    </row>
    <row r="47" spans="2:22">
      <c r="B47" s="3" t="s">
        <v>14</v>
      </c>
      <c r="C47" s="8">
        <v>1620</v>
      </c>
      <c r="D47" s="8">
        <v>3708</v>
      </c>
      <c r="E47" s="10">
        <f t="shared" si="10"/>
        <v>-1.2888888888888888</v>
      </c>
      <c r="G47" s="3" t="s">
        <v>15</v>
      </c>
      <c r="H47" s="3">
        <v>5845</v>
      </c>
      <c r="I47" s="3">
        <v>13395</v>
      </c>
      <c r="J47" s="10">
        <f t="shared" si="11"/>
        <v>-1.2917023096663813</v>
      </c>
      <c r="L47" s="3" t="s">
        <v>15</v>
      </c>
      <c r="M47" s="3">
        <v>17802</v>
      </c>
      <c r="N47" s="3">
        <v>40158</v>
      </c>
      <c r="O47" s="10">
        <f t="shared" si="12"/>
        <v>-1.2558139534883721</v>
      </c>
    </row>
    <row r="48" spans="2:22">
      <c r="B48" s="3" t="s">
        <v>15</v>
      </c>
      <c r="C48" s="8">
        <v>1620</v>
      </c>
      <c r="D48" s="8">
        <v>1236</v>
      </c>
      <c r="E48" s="10">
        <f t="shared" si="10"/>
        <v>0.23703703703703705</v>
      </c>
      <c r="G48" s="3" t="s">
        <v>16</v>
      </c>
      <c r="H48" s="3">
        <v>5845</v>
      </c>
      <c r="I48" s="3">
        <v>4465</v>
      </c>
      <c r="J48" s="10">
        <f t="shared" si="11"/>
        <v>0.23609923011120615</v>
      </c>
      <c r="L48" s="3" t="s">
        <v>16</v>
      </c>
      <c r="M48" s="3">
        <v>17802</v>
      </c>
      <c r="N48" s="3">
        <v>13386</v>
      </c>
      <c r="O48" s="10">
        <f t="shared" si="12"/>
        <v>0.24806201550387597</v>
      </c>
    </row>
    <row r="49" spans="2:15">
      <c r="B49" s="3" t="s">
        <v>17</v>
      </c>
      <c r="C49" s="8">
        <v>405</v>
      </c>
      <c r="D49" s="8">
        <v>309</v>
      </c>
      <c r="E49" s="10">
        <f t="shared" si="10"/>
        <v>0.23703703703703705</v>
      </c>
      <c r="G49" s="3" t="s">
        <v>17</v>
      </c>
      <c r="H49" s="3">
        <v>1169</v>
      </c>
      <c r="I49" s="3">
        <v>893</v>
      </c>
      <c r="J49" s="10">
        <f t="shared" si="11"/>
        <v>0.23609923011120615</v>
      </c>
      <c r="L49" s="3" t="s">
        <v>17</v>
      </c>
      <c r="M49" s="3">
        <v>2967</v>
      </c>
      <c r="N49" s="3">
        <v>2231</v>
      </c>
      <c r="O49" s="10">
        <f t="shared" si="12"/>
        <v>0.24806201550387597</v>
      </c>
    </row>
    <row r="50" spans="2:15">
      <c r="B50" s="3" t="s">
        <v>18</v>
      </c>
      <c r="C50" s="8">
        <v>405</v>
      </c>
      <c r="D50" s="8">
        <v>309</v>
      </c>
      <c r="E50" s="10">
        <f t="shared" si="10"/>
        <v>0.23703703703703705</v>
      </c>
      <c r="G50" s="3" t="s">
        <v>18</v>
      </c>
      <c r="H50" s="3">
        <v>1169</v>
      </c>
      <c r="I50" s="3">
        <v>893</v>
      </c>
      <c r="J50" s="10">
        <f t="shared" si="11"/>
        <v>0.23609923011120615</v>
      </c>
      <c r="L50" s="3" t="s">
        <v>18</v>
      </c>
      <c r="M50" s="3">
        <v>2967</v>
      </c>
      <c r="N50" s="3">
        <v>2231</v>
      </c>
      <c r="O50" s="10">
        <f t="shared" si="12"/>
        <v>0.24806201550387597</v>
      </c>
    </row>
    <row r="51" spans="2:15">
      <c r="B51" s="3" t="s">
        <v>19</v>
      </c>
      <c r="C51" s="8">
        <v>405</v>
      </c>
      <c r="D51" s="8">
        <v>309</v>
      </c>
      <c r="E51" s="10">
        <f t="shared" si="10"/>
        <v>0.23703703703703705</v>
      </c>
      <c r="G51" s="3" t="s">
        <v>19</v>
      </c>
      <c r="H51" s="3">
        <v>1169</v>
      </c>
      <c r="I51" s="3">
        <v>893</v>
      </c>
      <c r="J51" s="10">
        <f t="shared" si="11"/>
        <v>0.23609923011120615</v>
      </c>
      <c r="L51" s="3" t="s">
        <v>19</v>
      </c>
      <c r="M51" s="3">
        <v>2967</v>
      </c>
      <c r="N51" s="3">
        <v>2231</v>
      </c>
      <c r="O51" s="10">
        <f t="shared" si="12"/>
        <v>0.24806201550387597</v>
      </c>
    </row>
    <row r="52" spans="2:15">
      <c r="B52" s="5" t="s">
        <v>20</v>
      </c>
      <c r="C52" s="8">
        <v>405</v>
      </c>
      <c r="D52" s="8">
        <v>309</v>
      </c>
      <c r="E52" s="10">
        <f t="shared" si="10"/>
        <v>0.23703703703703705</v>
      </c>
      <c r="G52" s="5" t="s">
        <v>20</v>
      </c>
      <c r="H52" s="3">
        <v>1169</v>
      </c>
      <c r="I52" s="3">
        <v>893</v>
      </c>
      <c r="J52" s="10">
        <f t="shared" si="11"/>
        <v>0.23609923011120615</v>
      </c>
      <c r="L52" s="5" t="s">
        <v>20</v>
      </c>
      <c r="M52" s="3">
        <v>2967</v>
      </c>
      <c r="N52" s="3">
        <v>2231</v>
      </c>
      <c r="O52" s="10">
        <f t="shared" si="12"/>
        <v>0.24806201550387597</v>
      </c>
    </row>
    <row r="53" spans="2:15">
      <c r="B53" s="3" t="s">
        <v>21</v>
      </c>
      <c r="C53" s="8">
        <v>405</v>
      </c>
      <c r="D53" s="8">
        <v>309</v>
      </c>
      <c r="E53" s="10">
        <f t="shared" si="10"/>
        <v>0.23703703703703705</v>
      </c>
      <c r="G53" s="3" t="s">
        <v>21</v>
      </c>
      <c r="H53" s="3">
        <v>1169</v>
      </c>
      <c r="I53" s="3">
        <v>893</v>
      </c>
      <c r="J53" s="10">
        <f t="shared" si="11"/>
        <v>0.23609923011120615</v>
      </c>
      <c r="L53" s="3" t="s">
        <v>21</v>
      </c>
      <c r="M53" s="3">
        <v>2967</v>
      </c>
      <c r="N53" s="3">
        <v>2231</v>
      </c>
      <c r="O53" s="10">
        <f t="shared" si="12"/>
        <v>0.24806201550387597</v>
      </c>
    </row>
    <row r="54" spans="2:15">
      <c r="C54" s="6"/>
    </row>
    <row r="56" spans="2:15">
      <c r="B56" s="1"/>
      <c r="C56" s="3" t="s">
        <v>1</v>
      </c>
      <c r="D56" s="3" t="s">
        <v>28</v>
      </c>
      <c r="E56" s="3" t="s">
        <v>2</v>
      </c>
      <c r="G56" s="1"/>
      <c r="H56" s="3" t="s">
        <v>1</v>
      </c>
      <c r="I56" s="3" t="s">
        <v>28</v>
      </c>
      <c r="J56" s="3" t="s">
        <v>2</v>
      </c>
      <c r="L56" s="1"/>
      <c r="M56" s="3" t="s">
        <v>1</v>
      </c>
      <c r="N56" s="3" t="s">
        <v>28</v>
      </c>
      <c r="O56" s="3" t="s">
        <v>2</v>
      </c>
    </row>
    <row r="57" spans="2:15">
      <c r="B57" s="4" t="s">
        <v>3</v>
      </c>
      <c r="C57" s="13" t="s">
        <v>22</v>
      </c>
      <c r="D57" s="14"/>
      <c r="E57" s="9"/>
      <c r="G57" s="4" t="s">
        <v>3</v>
      </c>
      <c r="H57" s="13" t="s">
        <v>23</v>
      </c>
      <c r="I57" s="14"/>
      <c r="J57" s="9"/>
      <c r="L57" s="4" t="s">
        <v>3</v>
      </c>
      <c r="M57" s="13" t="s">
        <v>24</v>
      </c>
      <c r="N57" s="14"/>
      <c r="O57" s="9"/>
    </row>
    <row r="58" spans="2:15">
      <c r="B58" s="4" t="s">
        <v>11</v>
      </c>
      <c r="C58" s="3">
        <v>17</v>
      </c>
      <c r="D58" s="3">
        <v>19</v>
      </c>
      <c r="E58" s="10">
        <f>IF(C58=0,"N/A",(1-(D58/C58)))</f>
        <v>-0.11764705882352944</v>
      </c>
      <c r="G58" s="4" t="s">
        <v>11</v>
      </c>
      <c r="H58" s="3">
        <v>18</v>
      </c>
      <c r="I58" s="3">
        <v>20</v>
      </c>
      <c r="J58" s="10">
        <f>IF(H58=0,"N/A",(1-(I58/H58)))</f>
        <v>-0.11111111111111116</v>
      </c>
      <c r="L58" s="4" t="s">
        <v>11</v>
      </c>
      <c r="M58" s="3">
        <v>20</v>
      </c>
      <c r="N58" s="3">
        <v>23</v>
      </c>
      <c r="O58" s="10">
        <f>IF(M58=0,"N/A",(1-(N58/M58)))</f>
        <v>-0.14999999999999991</v>
      </c>
    </row>
    <row r="59" spans="2:15">
      <c r="B59" s="4" t="s">
        <v>12</v>
      </c>
      <c r="C59" s="3">
        <v>269672</v>
      </c>
      <c r="D59" s="3">
        <v>212960</v>
      </c>
      <c r="E59" s="10">
        <f t="shared" ref="E59:E67" si="13">IF(C59=0,"N/A",(1-(D59/C59)))</f>
        <v>0.21029991990269659</v>
      </c>
      <c r="G59" s="4" t="s">
        <v>12</v>
      </c>
      <c r="H59" s="3">
        <v>576934</v>
      </c>
      <c r="I59" s="3">
        <v>443932</v>
      </c>
      <c r="J59" s="10">
        <f t="shared" ref="J59:J67" si="14">IF(H59=0,"N/A",(1-(I59/H59)))</f>
        <v>0.23053243525255918</v>
      </c>
      <c r="L59" s="4" t="s">
        <v>12</v>
      </c>
      <c r="M59" s="3">
        <v>1952840</v>
      </c>
      <c r="N59" s="3">
        <v>1494096</v>
      </c>
      <c r="O59" s="10">
        <f t="shared" ref="O59:O67" si="15">IF(M59=0,"N/A",(1-(N59/M59)))</f>
        <v>0.23491120624321504</v>
      </c>
    </row>
    <row r="60" spans="2:15">
      <c r="B60" s="3" t="s">
        <v>13</v>
      </c>
      <c r="C60" s="3">
        <v>13784</v>
      </c>
      <c r="D60" s="3">
        <v>0</v>
      </c>
      <c r="E60" s="10">
        <f t="shared" si="13"/>
        <v>1</v>
      </c>
      <c r="G60" s="3" t="s">
        <v>13</v>
      </c>
      <c r="H60" s="3">
        <v>29266</v>
      </c>
      <c r="I60" s="3">
        <v>0</v>
      </c>
      <c r="J60" s="10">
        <f t="shared" si="14"/>
        <v>1</v>
      </c>
      <c r="L60" s="3" t="s">
        <v>13</v>
      </c>
      <c r="M60" s="3">
        <v>54896</v>
      </c>
      <c r="N60" s="3">
        <v>0</v>
      </c>
      <c r="O60" s="10">
        <f t="shared" si="15"/>
        <v>1</v>
      </c>
    </row>
    <row r="61" spans="2:15">
      <c r="B61" s="3" t="s">
        <v>15</v>
      </c>
      <c r="C61" s="3">
        <v>48244</v>
      </c>
      <c r="D61" s="3">
        <v>106428</v>
      </c>
      <c r="E61" s="10">
        <f t="shared" si="13"/>
        <v>-1.2060359837492745</v>
      </c>
      <c r="G61" s="3" t="s">
        <v>15</v>
      </c>
      <c r="H61" s="3">
        <v>117064</v>
      </c>
      <c r="I61" s="3">
        <v>254424</v>
      </c>
      <c r="J61" s="10">
        <f t="shared" si="14"/>
        <v>-1.1733752477277388</v>
      </c>
      <c r="L61" s="3" t="s">
        <v>16</v>
      </c>
      <c r="M61" s="3">
        <v>247032</v>
      </c>
      <c r="N61" s="3">
        <v>533304</v>
      </c>
      <c r="O61" s="10">
        <f t="shared" si="15"/>
        <v>-1.1588458175459051</v>
      </c>
    </row>
    <row r="62" spans="2:15">
      <c r="B62" s="3" t="s">
        <v>16</v>
      </c>
      <c r="C62" s="3">
        <v>48244</v>
      </c>
      <c r="D62" s="3">
        <v>35476</v>
      </c>
      <c r="E62" s="10">
        <f t="shared" si="13"/>
        <v>0.26465467208357518</v>
      </c>
      <c r="G62" s="3" t="s">
        <v>16</v>
      </c>
      <c r="H62" s="3">
        <v>117064</v>
      </c>
      <c r="I62" s="3">
        <v>84808</v>
      </c>
      <c r="J62" s="10">
        <f t="shared" si="14"/>
        <v>0.2755415840907538</v>
      </c>
      <c r="L62" s="3" t="s">
        <v>25</v>
      </c>
      <c r="M62" s="3">
        <v>247032</v>
      </c>
      <c r="N62" s="3">
        <v>177768</v>
      </c>
      <c r="O62" s="10">
        <f t="shared" si="15"/>
        <v>0.28038472748469834</v>
      </c>
    </row>
    <row r="63" spans="2:15">
      <c r="B63" s="3" t="s">
        <v>17</v>
      </c>
      <c r="C63" s="3">
        <v>6892</v>
      </c>
      <c r="D63" s="3">
        <v>5068</v>
      </c>
      <c r="E63" s="10">
        <f t="shared" si="13"/>
        <v>0.26465467208357518</v>
      </c>
      <c r="G63" s="3" t="s">
        <v>17</v>
      </c>
      <c r="H63" s="3">
        <v>14633</v>
      </c>
      <c r="I63" s="3">
        <v>10601</v>
      </c>
      <c r="J63" s="10">
        <f t="shared" si="14"/>
        <v>0.2755415840907538</v>
      </c>
      <c r="L63" s="3" t="s">
        <v>17</v>
      </c>
      <c r="M63" s="3">
        <v>27448</v>
      </c>
      <c r="N63" s="3">
        <v>19752</v>
      </c>
      <c r="O63" s="10">
        <f t="shared" si="15"/>
        <v>0.28038472748469834</v>
      </c>
    </row>
    <row r="64" spans="2:15">
      <c r="B64" s="3" t="s">
        <v>18</v>
      </c>
      <c r="C64" s="3">
        <v>6892</v>
      </c>
      <c r="D64" s="3">
        <v>5068</v>
      </c>
      <c r="E64" s="10">
        <f t="shared" si="13"/>
        <v>0.26465467208357518</v>
      </c>
      <c r="G64" s="3" t="s">
        <v>18</v>
      </c>
      <c r="H64" s="3">
        <v>14633</v>
      </c>
      <c r="I64" s="3">
        <v>10601</v>
      </c>
      <c r="J64" s="10">
        <f t="shared" si="14"/>
        <v>0.2755415840907538</v>
      </c>
      <c r="L64" s="3" t="s">
        <v>18</v>
      </c>
      <c r="M64" s="3">
        <v>27448</v>
      </c>
      <c r="N64" s="3">
        <v>19752</v>
      </c>
      <c r="O64" s="10">
        <f t="shared" si="15"/>
        <v>0.28038472748469834</v>
      </c>
    </row>
    <row r="65" spans="2:15">
      <c r="B65" s="3" t="s">
        <v>19</v>
      </c>
      <c r="C65" s="3">
        <v>6892</v>
      </c>
      <c r="D65" s="3">
        <v>5068</v>
      </c>
      <c r="E65" s="10">
        <f t="shared" si="13"/>
        <v>0.26465467208357518</v>
      </c>
      <c r="G65" s="3" t="s">
        <v>19</v>
      </c>
      <c r="H65" s="3">
        <v>14633</v>
      </c>
      <c r="I65" s="3">
        <v>10601</v>
      </c>
      <c r="J65" s="10">
        <f t="shared" si="14"/>
        <v>0.2755415840907538</v>
      </c>
      <c r="L65" s="3" t="s">
        <v>19</v>
      </c>
      <c r="M65" s="3">
        <v>27448</v>
      </c>
      <c r="N65" s="3">
        <v>19752</v>
      </c>
      <c r="O65" s="10">
        <f t="shared" si="15"/>
        <v>0.28038472748469834</v>
      </c>
    </row>
    <row r="66" spans="2:15">
      <c r="B66" s="5" t="s">
        <v>20</v>
      </c>
      <c r="C66" s="3">
        <v>6892</v>
      </c>
      <c r="D66" s="3">
        <v>5068</v>
      </c>
      <c r="E66" s="10">
        <f t="shared" si="13"/>
        <v>0.26465467208357518</v>
      </c>
      <c r="G66" s="5" t="s">
        <v>20</v>
      </c>
      <c r="H66" s="3">
        <v>14633</v>
      </c>
      <c r="I66" s="3">
        <v>10601</v>
      </c>
      <c r="J66" s="10">
        <f t="shared" si="14"/>
        <v>0.2755415840907538</v>
      </c>
      <c r="L66" s="5" t="s">
        <v>20</v>
      </c>
      <c r="M66" s="3">
        <v>27448</v>
      </c>
      <c r="N66" s="3">
        <v>19752</v>
      </c>
      <c r="O66" s="10">
        <f t="shared" si="15"/>
        <v>0.28038472748469834</v>
      </c>
    </row>
    <row r="67" spans="2:15">
      <c r="B67" s="3" t="s">
        <v>21</v>
      </c>
      <c r="C67" s="3">
        <v>6892</v>
      </c>
      <c r="D67" s="3">
        <v>5068</v>
      </c>
      <c r="E67" s="10">
        <f t="shared" si="13"/>
        <v>0.26465467208357518</v>
      </c>
      <c r="G67" s="3" t="s">
        <v>21</v>
      </c>
      <c r="H67" s="3">
        <v>14633</v>
      </c>
      <c r="I67" s="3">
        <v>10601</v>
      </c>
      <c r="J67" s="10">
        <f t="shared" si="14"/>
        <v>0.2755415840907538</v>
      </c>
      <c r="L67" s="3" t="s">
        <v>21</v>
      </c>
      <c r="M67" s="3">
        <v>27448</v>
      </c>
      <c r="N67" s="3">
        <v>19752</v>
      </c>
      <c r="O67" s="10">
        <f t="shared" si="15"/>
        <v>0.28038472748469834</v>
      </c>
    </row>
  </sheetData>
  <mergeCells count="12">
    <mergeCell ref="C57:D57"/>
    <mergeCell ref="H57:I57"/>
    <mergeCell ref="M57:N57"/>
    <mergeCell ref="C43:D43"/>
    <mergeCell ref="H3:I3"/>
    <mergeCell ref="H17:I17"/>
    <mergeCell ref="M3:N3"/>
    <mergeCell ref="M17:N17"/>
    <mergeCell ref="C3:D3"/>
    <mergeCell ref="C17:D17"/>
    <mergeCell ref="H43:I43"/>
    <mergeCell ref="M43:N43"/>
  </mergeCells>
  <conditionalFormatting sqref="E4:E13 E40:E41 E44:E53">
    <cfRule type="expression" dxfId="25" priority="26">
      <formula>C4 &lt; D4</formula>
    </cfRule>
  </conditionalFormatting>
  <conditionalFormatting sqref="E4:E13 E40:E41 E44:E53">
    <cfRule type="expression" dxfId="24" priority="25">
      <formula>C4 &gt; D4</formula>
    </cfRule>
  </conditionalFormatting>
  <conditionalFormatting sqref="J4:J13">
    <cfRule type="expression" dxfId="23" priority="24">
      <formula>H4 &lt; I4</formula>
    </cfRule>
  </conditionalFormatting>
  <conditionalFormatting sqref="J4:J13">
    <cfRule type="expression" dxfId="22" priority="23">
      <formula>H4 &gt; I4</formula>
    </cfRule>
  </conditionalFormatting>
  <conditionalFormatting sqref="J18:J27">
    <cfRule type="expression" dxfId="21" priority="22">
      <formula>H18 &lt; I18</formula>
    </cfRule>
  </conditionalFormatting>
  <conditionalFormatting sqref="J18:J27">
    <cfRule type="expression" dxfId="20" priority="21">
      <formula>H18 &gt; I18</formula>
    </cfRule>
  </conditionalFormatting>
  <conditionalFormatting sqref="E18:E27">
    <cfRule type="expression" dxfId="19" priority="20">
      <formula>C18 &lt; D18</formula>
    </cfRule>
  </conditionalFormatting>
  <conditionalFormatting sqref="E18:E27">
    <cfRule type="expression" dxfId="18" priority="19">
      <formula>C18 &gt; D18</formula>
    </cfRule>
  </conditionalFormatting>
  <conditionalFormatting sqref="O4:O13">
    <cfRule type="expression" dxfId="17" priority="18">
      <formula>M4 &lt; N4</formula>
    </cfRule>
  </conditionalFormatting>
  <conditionalFormatting sqref="O4:O13">
    <cfRule type="expression" dxfId="16" priority="17">
      <formula>M4 &gt; N4</formula>
    </cfRule>
  </conditionalFormatting>
  <conditionalFormatting sqref="O18:O27">
    <cfRule type="expression" dxfId="15" priority="16">
      <formula>M18 &lt; N18</formula>
    </cfRule>
  </conditionalFormatting>
  <conditionalFormatting sqref="O18:O27">
    <cfRule type="expression" dxfId="14" priority="15">
      <formula>M18 &gt; N18</formula>
    </cfRule>
  </conditionalFormatting>
  <conditionalFormatting sqref="E38">
    <cfRule type="expression" dxfId="13" priority="28">
      <formula>C38 &lt; D38</formula>
    </cfRule>
  </conditionalFormatting>
  <conditionalFormatting sqref="E38">
    <cfRule type="expression" dxfId="12" priority="31">
      <formula>C38 &gt; D38</formula>
    </cfRule>
  </conditionalFormatting>
  <conditionalFormatting sqref="E33:E37">
    <cfRule type="expression" dxfId="11" priority="12">
      <formula>C33 &lt; D33</formula>
    </cfRule>
  </conditionalFormatting>
  <conditionalFormatting sqref="E33:E37">
    <cfRule type="expression" dxfId="10" priority="11">
      <formula>C33 &gt; D33</formula>
    </cfRule>
  </conditionalFormatting>
  <conditionalFormatting sqref="J44:J53">
    <cfRule type="expression" dxfId="9" priority="10">
      <formula>H44 &lt; I44</formula>
    </cfRule>
  </conditionalFormatting>
  <conditionalFormatting sqref="J44:J53">
    <cfRule type="expression" dxfId="8" priority="9">
      <formula>H44 &gt; I44</formula>
    </cfRule>
  </conditionalFormatting>
  <conditionalFormatting sqref="J58:J67">
    <cfRule type="expression" dxfId="7" priority="8">
      <formula>H58 &lt; I58</formula>
    </cfRule>
  </conditionalFormatting>
  <conditionalFormatting sqref="J58:J67">
    <cfRule type="expression" dxfId="6" priority="7">
      <formula>H58 &gt; I58</formula>
    </cfRule>
  </conditionalFormatting>
  <conditionalFormatting sqref="E58:E67">
    <cfRule type="expression" dxfId="5" priority="6">
      <formula>C58 &lt; D58</formula>
    </cfRule>
  </conditionalFormatting>
  <conditionalFormatting sqref="E58:E67">
    <cfRule type="expression" dxfId="4" priority="5">
      <formula>C58 &gt; D58</formula>
    </cfRule>
  </conditionalFormatting>
  <conditionalFormatting sqref="O44:O53">
    <cfRule type="expression" dxfId="3" priority="4">
      <formula>M44 &lt; N44</formula>
    </cfRule>
  </conditionalFormatting>
  <conditionalFormatting sqref="O44:O53">
    <cfRule type="expression" dxfId="2" priority="3">
      <formula>M44 &gt; N44</formula>
    </cfRule>
  </conditionalFormatting>
  <conditionalFormatting sqref="O58:O67">
    <cfRule type="expression" dxfId="1" priority="2">
      <formula>M58 &lt; N58</formula>
    </cfRule>
  </conditionalFormatting>
  <conditionalFormatting sqref="O58:O67">
    <cfRule type="expression" dxfId="0" priority="1">
      <formula>M58 &gt; N58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2026-04-20T16:51:51Z</dcterms:created>
  <dcterms:modified xsi:type="dcterms:W3CDTF">2026-05-14T18:24:34Z</dcterms:modified>
  <cp:category/>
  <cp:contentStatus/>
</cp:coreProperties>
</file>